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Github\IdeasForChange\BlazorReportingEngine\data\Report_Templates\"/>
    </mc:Choice>
  </mc:AlternateContent>
  <xr:revisionPtr revIDLastSave="0" documentId="13_ncr:1_{7F48C3E8-6597-49DA-B209-5F7758D4BB66}" xr6:coauthVersionLast="47" xr6:coauthVersionMax="47" xr10:uidLastSave="{00000000-0000-0000-0000-000000000000}"/>
  <bookViews>
    <workbookView xWindow="-110" yWindow="-110" windowWidth="25820" windowHeight="15500" tabRatio="886" activeTab="2" xr2:uid="{00000000-000D-0000-FFFF-FFFF00000000}"/>
  </bookViews>
  <sheets>
    <sheet name="Instructions" sheetId="39" r:id="rId1"/>
    <sheet name="Input" sheetId="21" r:id="rId2"/>
    <sheet name="CSV_MR_FULL_REVAL" sheetId="66" r:id="rId3"/>
  </sheets>
  <externalReferences>
    <externalReference r:id="rId4"/>
    <externalReference r:id="rId5"/>
    <externalReference r:id="rId6"/>
    <externalReference r:id="rId7"/>
    <externalReference r:id="rId8"/>
  </externalReferences>
  <definedNames>
    <definedName name="_FSA001">#REF!</definedName>
    <definedName name="_FSA002">#REF!</definedName>
    <definedName name="_FSA003">#REF!</definedName>
    <definedName name="_FSA007">#REF!</definedName>
    <definedName name="_FSA014">#REF!</definedName>
    <definedName name="_FSA015">#REF!</definedName>
    <definedName name="_FSA016">#REF!</definedName>
    <definedName name="_FSA027">#REF!</definedName>
    <definedName name="_FSA028">#REF!</definedName>
    <definedName name="_ftnref1_50">#REF!</definedName>
    <definedName name="_ftnref1_50_10">'[1]Table 39_'!#REF!</definedName>
    <definedName name="_ftnref1_50_15">#REF!</definedName>
    <definedName name="_ftnref1_50_18">#REF!</definedName>
    <definedName name="_ftnref1_50_19">#REF!</definedName>
    <definedName name="_ftnref1_50_20">#REF!</definedName>
    <definedName name="_ftnref1_50_21">#REF!</definedName>
    <definedName name="_ftnref1_50_23">#REF!</definedName>
    <definedName name="_ftnref1_50_24">#REF!</definedName>
    <definedName name="_ftnref1_50_27">#REF!</definedName>
    <definedName name="_ftnref1_50_28">#REF!</definedName>
    <definedName name="_ftnref1_50_4">#REF!</definedName>
    <definedName name="_ftnref1_50_5">#REF!</definedName>
    <definedName name="_ftnref1_50_9">#REF!</definedName>
    <definedName name="_ftnref1_51">#REF!</definedName>
    <definedName name="_ftnref1_51_10">#REF!</definedName>
    <definedName name="_ftnref1_51_15">#REF!</definedName>
    <definedName name="_ftnref1_51_18">#REF!</definedName>
    <definedName name="_ftnref1_51_19">#REF!</definedName>
    <definedName name="_ftnref1_51_20">#REF!</definedName>
    <definedName name="_ftnref1_51_21">#REF!</definedName>
    <definedName name="_ftnref1_51_23">#REF!</definedName>
    <definedName name="_ftnref1_51_24">#REF!</definedName>
    <definedName name="_ftnref1_51_4">#REF!</definedName>
    <definedName name="_ftnref1_51_5">#REF!</definedName>
    <definedName name="_h">#REF!</definedName>
    <definedName name="_TBT_01">#REF!</definedName>
    <definedName name="_TBT1">'[2]Table 39_'!#REF!</definedName>
    <definedName name="Accounting">#REF!</definedName>
    <definedName name="ah">#REF!</definedName>
    <definedName name="AP">#REF!</definedName>
    <definedName name="App">#REF!</definedName>
    <definedName name="AT">#REF!</definedName>
    <definedName name="BankType">#REF!</definedName>
    <definedName name="BAS">'[3]Lists-Aux'!$A:$A</definedName>
    <definedName name="Basel">#REF!</definedName>
    <definedName name="Basel12">#REF!</definedName>
    <definedName name="BT">#REF!</definedName>
    <definedName name="Carlos">#REF!</definedName>
    <definedName name="CCROTC">#REF!</definedName>
    <definedName name="CCRSFT">#REF!</definedName>
    <definedName name="COF">#REF!</definedName>
    <definedName name="COI">#REF!</definedName>
    <definedName name="COMPANY">'[4]Drop Down List'!$H$1</definedName>
    <definedName name="CP">#REF!</definedName>
    <definedName name="CQS">'[3]Lists-Aux'!$J:$J</definedName>
    <definedName name="CT">'[3]Lists-Aux'!$K:$K</definedName>
    <definedName name="dfd">[5]Parameters!#REF!</definedName>
    <definedName name="DimensionsNames">#REF!</definedName>
    <definedName name="dsa">#REF!</definedName>
    <definedName name="edc">#REF!</definedName>
    <definedName name="ER">#REF!</definedName>
    <definedName name="fdsg">#REF!</definedName>
    <definedName name="fgf">#REF!</definedName>
    <definedName name="Frequency">#REF!</definedName>
    <definedName name="FSA007a">#REF!</definedName>
    <definedName name="GA">#REF!</definedName>
    <definedName name="Group">#REF!</definedName>
    <definedName name="Group2">#REF!</definedName>
    <definedName name="ho">#REF!</definedName>
    <definedName name="IM">#REF!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#REF!</definedName>
    <definedName name="JedenRadekPodSestavou_11">#REF!</definedName>
    <definedName name="JedenRadekPodSestavou_2">#REF!</definedName>
    <definedName name="JedenRadekPodSestavou_28">#REF!</definedName>
    <definedName name="JedenRadekVedleSestavy">#REF!</definedName>
    <definedName name="JedenRadekVedleSestavy_11">#REF!</definedName>
    <definedName name="JedenRadekVedleSestavy_2">#REF!</definedName>
    <definedName name="JedenRadekVedleSestavy_28">#REF!</definedName>
    <definedName name="kk">#REF!</definedName>
    <definedName name="ll">#REF!</definedName>
    <definedName name="MaxOblastTabulky">#REF!</definedName>
    <definedName name="MaxOblastTabulky_11">#REF!</definedName>
    <definedName name="MaxOblastTabulky_2">#REF!</definedName>
    <definedName name="MaxOblastTabulky_28">#REF!</definedName>
    <definedName name="MC">#REF!</definedName>
    <definedName name="Members">#REF!</definedName>
    <definedName name="MONTH">#REF!</definedName>
    <definedName name="OblastDat2">#REF!</definedName>
    <definedName name="OblastDat2_11">#REF!</definedName>
    <definedName name="OblastDat2_2">#REF!</definedName>
    <definedName name="OblastDat2_28">#REF!</definedName>
    <definedName name="OblastNadpisuRadku">#REF!</definedName>
    <definedName name="OblastNadpisuRadku_11">#REF!</definedName>
    <definedName name="OblastNadpisuRadku_2">#REF!</definedName>
    <definedName name="OblastNadpisuRadku_28">#REF!</definedName>
    <definedName name="OblastNadpisuSloupcu">#REF!</definedName>
    <definedName name="OblastNadpisuSloupcu_11">#REF!</definedName>
    <definedName name="OblastNadpisuSloupcu_2">#REF!</definedName>
    <definedName name="OblastNadpisuSloupcu_28">#REF!</definedName>
    <definedName name="OpRisk">#REF!</definedName>
    <definedName name="PCT">#REF!</definedName>
    <definedName name="PI">#REF!</definedName>
    <definedName name="PL">#REF!</definedName>
    <definedName name="PR">#REF!</definedName>
    <definedName name="Print_Area_MI">#REF!</definedName>
    <definedName name="Print_Area_MI_11">#REF!</definedName>
    <definedName name="Print_Area_MI_2">#REF!</definedName>
    <definedName name="Print_Area_MI_28">#REF!</definedName>
    <definedName name="Print_Titles_MI">#REF!</definedName>
    <definedName name="Print_Titles_MI_11">#REF!</definedName>
    <definedName name="Print_Titles_MI_2">#REF!</definedName>
    <definedName name="Print_Titles_MI_28">#REF!</definedName>
    <definedName name="rfgf">#REF!</definedName>
    <definedName name="RP">#REF!</definedName>
    <definedName name="rrr">#REF!</definedName>
    <definedName name="RSP">#REF!</definedName>
    <definedName name="RT">#REF!</definedName>
    <definedName name="RTT">#REF!</definedName>
    <definedName name="SMBC_FullReval_Total_CentralBank" localSheetId="2">CSV_MR_FULL_REVAL!$I$29</definedName>
    <definedName name="SMBC_FullReval_Total_CreditInstitutions" localSheetId="2">CSV_MR_FULL_REVAL!$I$31</definedName>
    <definedName name="SMBC_FullReval_Total_GeneralGovt" localSheetId="2">CSV_MR_FULL_REVAL!$I$30</definedName>
    <definedName name="SMBC_FullReval_Total_NonFinCorporations" localSheetId="2">CSV_MR_FULL_REVAL!$I$33</definedName>
    <definedName name="SMBC_FullReval_Total_Other" localSheetId="2">CSV_MR_FULL_REVAL!$I$34</definedName>
    <definedName name="SMBC_FullReval_Total_OtherFinCorp" localSheetId="2">CSV_MR_FULL_REVAL!$I$32</definedName>
    <definedName name="ST">#REF!</definedName>
    <definedName name="TA">#REF!</definedName>
    <definedName name="Table_A">#REF!</definedName>
    <definedName name="Table_AB">#REF!</definedName>
    <definedName name="Table_AD">#REF!</definedName>
    <definedName name="Table_AE">#REF!</definedName>
    <definedName name="Table_AF">#REF!</definedName>
    <definedName name="Table_AH">#REF!</definedName>
    <definedName name="Table_AL">#REF!</definedName>
    <definedName name="Table_B">#REF!</definedName>
    <definedName name="Table_C">#REF!</definedName>
    <definedName name="Table_D">#REF!</definedName>
    <definedName name="Table_F">#REF!</definedName>
    <definedName name="Table_G">#REF!</definedName>
    <definedName name="Table_H">#REF!</definedName>
    <definedName name="Table_J">#REF!</definedName>
    <definedName name="Table_K">#REF!</definedName>
    <definedName name="Table_M">#REF!</definedName>
    <definedName name="Table_O">#REF!</definedName>
    <definedName name="Table_Q">#REF!</definedName>
    <definedName name="Table_S">#REF!</definedName>
    <definedName name="Table_T">#REF!</definedName>
    <definedName name="Table_U">#REF!</definedName>
    <definedName name="Table_V">#REF!</definedName>
    <definedName name="TD">#REF!</definedName>
    <definedName name="TI">#REF!</definedName>
    <definedName name="UES">#REF!</definedName>
    <definedName name="Valid1">#REF!</definedName>
    <definedName name="Valid2">#REF!</definedName>
    <definedName name="Valid3">#REF!</definedName>
    <definedName name="Valid4">#REF!</definedName>
    <definedName name="Valid5">#REF!</definedName>
    <definedName name="XBRL">#REF!</definedName>
    <definedName name="XX">#REF!</definedName>
    <definedName name="YEAR">#REF!</definedName>
    <definedName name="YesNo">#REF!</definedName>
    <definedName name="YesNoBasel2">#REF!</definedName>
    <definedName name="YesNoNA">#REF!</definedName>
    <definedName name="zxasdafsd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4" i="21" l="1"/>
  <c r="Q24" i="21"/>
  <c r="P24" i="21"/>
  <c r="R67" i="21"/>
  <c r="Q67" i="21"/>
  <c r="P67" i="21"/>
  <c r="P72" i="21"/>
  <c r="C78" i="21" l="1"/>
  <c r="S71" i="66" l="1"/>
  <c r="S114" i="66"/>
  <c r="S85" i="66"/>
  <c r="S78" i="66"/>
  <c r="S86" i="66" s="1"/>
  <c r="S90" i="66" s="1"/>
  <c r="S66" i="66"/>
  <c r="S47" i="66"/>
  <c r="R47" i="66"/>
  <c r="EL114" i="66"/>
  <c r="EL90" i="66"/>
  <c r="EL66" i="66"/>
  <c r="EL47" i="66"/>
  <c r="NF114" i="66"/>
  <c r="NF90" i="66"/>
  <c r="NF66" i="66"/>
  <c r="NF47" i="66"/>
  <c r="MA114" i="66"/>
  <c r="MA90" i="66"/>
  <c r="MA66" i="66"/>
  <c r="MA47" i="66"/>
  <c r="OH114" i="66" l="1"/>
  <c r="OG114" i="66"/>
  <c r="OF114" i="66"/>
  <c r="OE114" i="66"/>
  <c r="OD114" i="66"/>
  <c r="OC114" i="66"/>
  <c r="OB114" i="66"/>
  <c r="OA114" i="66"/>
  <c r="NZ114" i="66"/>
  <c r="NY114" i="66"/>
  <c r="NX114" i="66"/>
  <c r="NW114" i="66"/>
  <c r="NV114" i="66"/>
  <c r="NU114" i="66"/>
  <c r="NT114" i="66"/>
  <c r="NS114" i="66"/>
  <c r="NR114" i="66"/>
  <c r="NQ114" i="66"/>
  <c r="NP114" i="66"/>
  <c r="NO114" i="66"/>
  <c r="NN114" i="66"/>
  <c r="NM114" i="66"/>
  <c r="NL114" i="66"/>
  <c r="NK114" i="66"/>
  <c r="NJ114" i="66"/>
  <c r="NI114" i="66"/>
  <c r="NH114" i="66"/>
  <c r="NG114" i="66"/>
  <c r="NE114" i="66"/>
  <c r="ND114" i="66"/>
  <c r="NC114" i="66"/>
  <c r="NB114" i="66"/>
  <c r="NA114" i="66"/>
  <c r="MZ114" i="66"/>
  <c r="MY114" i="66"/>
  <c r="MX114" i="66"/>
  <c r="MW114" i="66"/>
  <c r="MV114" i="66"/>
  <c r="MU114" i="66"/>
  <c r="MT114" i="66"/>
  <c r="MS114" i="66"/>
  <c r="MR114" i="66"/>
  <c r="MQ114" i="66"/>
  <c r="MP114" i="66"/>
  <c r="MO114" i="66"/>
  <c r="MN114" i="66"/>
  <c r="MM114" i="66"/>
  <c r="ML114" i="66"/>
  <c r="MK114" i="66"/>
  <c r="MJ114" i="66"/>
  <c r="MI114" i="66"/>
  <c r="MH114" i="66"/>
  <c r="MG114" i="66"/>
  <c r="MF114" i="66"/>
  <c r="ME114" i="66"/>
  <c r="MD114" i="66"/>
  <c r="MC114" i="66"/>
  <c r="MB114" i="66"/>
  <c r="LZ114" i="66"/>
  <c r="LY114" i="66"/>
  <c r="LX114" i="66"/>
  <c r="LW114" i="66"/>
  <c r="LV114" i="66"/>
  <c r="LU114" i="66"/>
  <c r="LT114" i="66"/>
  <c r="LS114" i="66"/>
  <c r="LR114" i="66"/>
  <c r="LQ114" i="66"/>
  <c r="LP114" i="66"/>
  <c r="LO114" i="66"/>
  <c r="LN114" i="66"/>
  <c r="LM114" i="66"/>
  <c r="LL114" i="66"/>
  <c r="LK114" i="66"/>
  <c r="LJ114" i="66"/>
  <c r="LI114" i="66"/>
  <c r="LH114" i="66"/>
  <c r="LG114" i="66"/>
  <c r="LF114" i="66"/>
  <c r="LE114" i="66"/>
  <c r="LD114" i="66"/>
  <c r="LC114" i="66"/>
  <c r="LB114" i="66"/>
  <c r="LA114" i="66"/>
  <c r="KZ114" i="66"/>
  <c r="KY114" i="66"/>
  <c r="KX114" i="66"/>
  <c r="KW114" i="66"/>
  <c r="KV114" i="66"/>
  <c r="KU114" i="66"/>
  <c r="KT114" i="66"/>
  <c r="KS114" i="66"/>
  <c r="KR114" i="66"/>
  <c r="KQ114" i="66"/>
  <c r="KP114" i="66"/>
  <c r="KO114" i="66"/>
  <c r="KN114" i="66"/>
  <c r="KM114" i="66"/>
  <c r="KL114" i="66"/>
  <c r="KK114" i="66"/>
  <c r="KJ114" i="66"/>
  <c r="KI114" i="66"/>
  <c r="KH114" i="66"/>
  <c r="KG114" i="66"/>
  <c r="KF114" i="66"/>
  <c r="KE114" i="66"/>
  <c r="KD114" i="66"/>
  <c r="KC114" i="66"/>
  <c r="KB114" i="66"/>
  <c r="KA114" i="66"/>
  <c r="JZ114" i="66"/>
  <c r="JY114" i="66"/>
  <c r="JX114" i="66"/>
  <c r="JW114" i="66"/>
  <c r="JV114" i="66"/>
  <c r="JU114" i="66"/>
  <c r="JT114" i="66"/>
  <c r="JS114" i="66"/>
  <c r="JR114" i="66"/>
  <c r="JQ114" i="66"/>
  <c r="JP114" i="66"/>
  <c r="JO114" i="66"/>
  <c r="JN114" i="66"/>
  <c r="JM114" i="66"/>
  <c r="JL114" i="66"/>
  <c r="JK114" i="66"/>
  <c r="JJ114" i="66"/>
  <c r="JI114" i="66"/>
  <c r="JH114" i="66"/>
  <c r="JG114" i="66"/>
  <c r="JF114" i="66"/>
  <c r="JE114" i="66"/>
  <c r="JD114" i="66"/>
  <c r="JC114" i="66"/>
  <c r="JB114" i="66"/>
  <c r="JA114" i="66"/>
  <c r="IZ114" i="66"/>
  <c r="IY114" i="66"/>
  <c r="IX114" i="66"/>
  <c r="IW114" i="66"/>
  <c r="IV114" i="66"/>
  <c r="IU114" i="66"/>
  <c r="IT114" i="66"/>
  <c r="IS114" i="66"/>
  <c r="IR114" i="66"/>
  <c r="IQ114" i="66"/>
  <c r="IP114" i="66"/>
  <c r="IO114" i="66"/>
  <c r="IN114" i="66"/>
  <c r="IM114" i="66"/>
  <c r="IL114" i="66"/>
  <c r="IK114" i="66"/>
  <c r="IJ114" i="66"/>
  <c r="II114" i="66"/>
  <c r="IH114" i="66"/>
  <c r="IG114" i="66"/>
  <c r="IF114" i="66"/>
  <c r="IE114" i="66"/>
  <c r="ID114" i="66"/>
  <c r="IC114" i="66"/>
  <c r="IB114" i="66"/>
  <c r="IA114" i="66"/>
  <c r="HZ114" i="66"/>
  <c r="HY114" i="66"/>
  <c r="HX114" i="66"/>
  <c r="HW114" i="66"/>
  <c r="HV114" i="66"/>
  <c r="HU114" i="66"/>
  <c r="HT114" i="66"/>
  <c r="HS114" i="66"/>
  <c r="HR114" i="66"/>
  <c r="HQ114" i="66"/>
  <c r="HP114" i="66"/>
  <c r="HO114" i="66"/>
  <c r="HN114" i="66"/>
  <c r="HM114" i="66"/>
  <c r="HL114" i="66"/>
  <c r="HK114" i="66"/>
  <c r="HJ114" i="66"/>
  <c r="HI114" i="66"/>
  <c r="HH114" i="66"/>
  <c r="HG114" i="66"/>
  <c r="HF114" i="66"/>
  <c r="HE114" i="66"/>
  <c r="HD114" i="66"/>
  <c r="HC114" i="66"/>
  <c r="HB114" i="66"/>
  <c r="HA114" i="66"/>
  <c r="GZ114" i="66"/>
  <c r="GY114" i="66"/>
  <c r="GX114" i="66"/>
  <c r="GW114" i="66"/>
  <c r="GV114" i="66"/>
  <c r="GU114" i="66"/>
  <c r="GT114" i="66"/>
  <c r="GS114" i="66"/>
  <c r="GR114" i="66"/>
  <c r="GQ114" i="66"/>
  <c r="GP114" i="66"/>
  <c r="GO114" i="66"/>
  <c r="GN114" i="66"/>
  <c r="GM114" i="66"/>
  <c r="GL114" i="66"/>
  <c r="GK114" i="66"/>
  <c r="GJ114" i="66"/>
  <c r="GI114" i="66"/>
  <c r="GH114" i="66"/>
  <c r="GG114" i="66"/>
  <c r="GF114" i="66"/>
  <c r="GE114" i="66"/>
  <c r="GD114" i="66"/>
  <c r="GC114" i="66"/>
  <c r="GB114" i="66"/>
  <c r="GA114" i="66"/>
  <c r="FZ114" i="66"/>
  <c r="FY114" i="66"/>
  <c r="FX114" i="66"/>
  <c r="FW114" i="66"/>
  <c r="FV114" i="66"/>
  <c r="FU114" i="66"/>
  <c r="FT114" i="66"/>
  <c r="FS114" i="66"/>
  <c r="FR114" i="66"/>
  <c r="FQ114" i="66"/>
  <c r="FP114" i="66"/>
  <c r="FO114" i="66"/>
  <c r="FN114" i="66"/>
  <c r="FM114" i="66"/>
  <c r="FL114" i="66"/>
  <c r="FK114" i="66"/>
  <c r="FJ114" i="66"/>
  <c r="FI114" i="66"/>
  <c r="FH114" i="66"/>
  <c r="FG114" i="66"/>
  <c r="FF114" i="66"/>
  <c r="FE114" i="66"/>
  <c r="FD114" i="66"/>
  <c r="FC114" i="66"/>
  <c r="FB114" i="66"/>
  <c r="FA114" i="66"/>
  <c r="EZ114" i="66"/>
  <c r="EY114" i="66"/>
  <c r="EX114" i="66"/>
  <c r="EW114" i="66"/>
  <c r="EV114" i="66"/>
  <c r="EU114" i="66"/>
  <c r="ET114" i="66"/>
  <c r="ES114" i="66"/>
  <c r="ER114" i="66"/>
  <c r="EQ114" i="66"/>
  <c r="EP114" i="66"/>
  <c r="EO114" i="66"/>
  <c r="EN114" i="66"/>
  <c r="EM114" i="66"/>
  <c r="EK114" i="66"/>
  <c r="EJ114" i="66"/>
  <c r="EI114" i="66"/>
  <c r="EH114" i="66"/>
  <c r="EG114" i="66"/>
  <c r="EF114" i="66"/>
  <c r="EE114" i="66"/>
  <c r="ED114" i="66"/>
  <c r="EC114" i="66"/>
  <c r="EB114" i="66"/>
  <c r="EA114" i="66"/>
  <c r="DZ114" i="66"/>
  <c r="DY114" i="66"/>
  <c r="DX114" i="66"/>
  <c r="DW114" i="66"/>
  <c r="DV114" i="66"/>
  <c r="DU114" i="66"/>
  <c r="DT114" i="66"/>
  <c r="DS114" i="66"/>
  <c r="DR114" i="66"/>
  <c r="DQ114" i="66"/>
  <c r="DP114" i="66"/>
  <c r="DO114" i="66"/>
  <c r="DN114" i="66"/>
  <c r="DM114" i="66"/>
  <c r="DL114" i="66"/>
  <c r="DK114" i="66"/>
  <c r="DJ114" i="66"/>
  <c r="DI114" i="66"/>
  <c r="DH114" i="66"/>
  <c r="DG114" i="66"/>
  <c r="DF114" i="66"/>
  <c r="DE114" i="66"/>
  <c r="DD114" i="66"/>
  <c r="DC114" i="66"/>
  <c r="DB114" i="66"/>
  <c r="DA114" i="66"/>
  <c r="CZ114" i="66"/>
  <c r="CY114" i="66"/>
  <c r="CX114" i="66"/>
  <c r="CW114" i="66"/>
  <c r="CV114" i="66"/>
  <c r="CU114" i="66"/>
  <c r="CT114" i="66"/>
  <c r="CS114" i="66"/>
  <c r="CR114" i="66"/>
  <c r="CQ114" i="66"/>
  <c r="CP114" i="66"/>
  <c r="CO114" i="66"/>
  <c r="CN114" i="66"/>
  <c r="CM114" i="66"/>
  <c r="CL114" i="66"/>
  <c r="CK114" i="66"/>
  <c r="CJ114" i="66"/>
  <c r="CI114" i="66"/>
  <c r="CH114" i="66"/>
  <c r="CG114" i="66"/>
  <c r="CF114" i="66"/>
  <c r="CE114" i="66"/>
  <c r="CD114" i="66"/>
  <c r="CC114" i="66"/>
  <c r="CB114" i="66"/>
  <c r="CA114" i="66"/>
  <c r="BZ114" i="66"/>
  <c r="BY114" i="66"/>
  <c r="BX114" i="66"/>
  <c r="BW114" i="66"/>
  <c r="BV114" i="66"/>
  <c r="BU114" i="66"/>
  <c r="BT114" i="66"/>
  <c r="BS114" i="66"/>
  <c r="BR114" i="66"/>
  <c r="BQ114" i="66"/>
  <c r="BP114" i="66"/>
  <c r="BO114" i="66"/>
  <c r="BN114" i="66"/>
  <c r="BM114" i="66"/>
  <c r="BL114" i="66"/>
  <c r="BK114" i="66"/>
  <c r="BJ114" i="66"/>
  <c r="BI114" i="66"/>
  <c r="BH114" i="66"/>
  <c r="BG114" i="66"/>
  <c r="BF114" i="66"/>
  <c r="BE114" i="66"/>
  <c r="BD114" i="66"/>
  <c r="BC114" i="66"/>
  <c r="BB114" i="66"/>
  <c r="BA114" i="66"/>
  <c r="AZ114" i="66"/>
  <c r="AY114" i="66"/>
  <c r="AX114" i="66"/>
  <c r="AW114" i="66"/>
  <c r="AV114" i="66"/>
  <c r="AU114" i="66"/>
  <c r="AT114" i="66"/>
  <c r="AS114" i="66"/>
  <c r="AR114" i="66"/>
  <c r="AQ114" i="66"/>
  <c r="AP114" i="66"/>
  <c r="AO114" i="66"/>
  <c r="AN114" i="66"/>
  <c r="AM114" i="66"/>
  <c r="AL114" i="66"/>
  <c r="AK114" i="66"/>
  <c r="AJ114" i="66"/>
  <c r="AI114" i="66"/>
  <c r="AH114" i="66"/>
  <c r="AG114" i="66"/>
  <c r="AF114" i="66"/>
  <c r="AE114" i="66"/>
  <c r="AD114" i="66"/>
  <c r="AC114" i="66"/>
  <c r="AB114" i="66"/>
  <c r="AA114" i="66"/>
  <c r="Z114" i="66"/>
  <c r="Y114" i="66"/>
  <c r="X114" i="66"/>
  <c r="W114" i="66"/>
  <c r="V114" i="66"/>
  <c r="U114" i="66"/>
  <c r="T114" i="66"/>
  <c r="R114" i="66"/>
  <c r="O113" i="66"/>
  <c r="O112" i="66"/>
  <c r="O111" i="66"/>
  <c r="Q109" i="66"/>
  <c r="P109" i="66"/>
  <c r="N109" i="66"/>
  <c r="M109" i="66"/>
  <c r="L109" i="66"/>
  <c r="K109" i="66"/>
  <c r="J109" i="66"/>
  <c r="I109" i="66"/>
  <c r="O108" i="66"/>
  <c r="O107" i="66"/>
  <c r="O106" i="66"/>
  <c r="O105" i="66"/>
  <c r="O104" i="66"/>
  <c r="O103" i="66"/>
  <c r="Q102" i="66"/>
  <c r="P102" i="66"/>
  <c r="N102" i="66"/>
  <c r="M102" i="66"/>
  <c r="L102" i="66"/>
  <c r="K102" i="66"/>
  <c r="J102" i="66"/>
  <c r="I102" i="66"/>
  <c r="O101" i="66"/>
  <c r="O100" i="66"/>
  <c r="O99" i="66"/>
  <c r="O98" i="66"/>
  <c r="O97" i="66"/>
  <c r="O96" i="66"/>
  <c r="Q95" i="66"/>
  <c r="Q110" i="66" s="1"/>
  <c r="Q114" i="66" s="1"/>
  <c r="P95" i="66"/>
  <c r="P110" i="66" s="1"/>
  <c r="N95" i="66"/>
  <c r="N110" i="66" s="1"/>
  <c r="N114" i="66" s="1"/>
  <c r="M95" i="66"/>
  <c r="L95" i="66"/>
  <c r="L110" i="66" s="1"/>
  <c r="L114" i="66" s="1"/>
  <c r="K95" i="66"/>
  <c r="J95" i="66"/>
  <c r="J110" i="66" s="1"/>
  <c r="J114" i="66" s="1"/>
  <c r="I95" i="66"/>
  <c r="O94" i="66"/>
  <c r="O93" i="66"/>
  <c r="O92" i="66"/>
  <c r="O95" i="66" s="1"/>
  <c r="O91" i="66"/>
  <c r="OH90" i="66"/>
  <c r="OG90" i="66"/>
  <c r="OF90" i="66"/>
  <c r="OE90" i="66"/>
  <c r="OD90" i="66"/>
  <c r="OC90" i="66"/>
  <c r="OB90" i="66"/>
  <c r="OA90" i="66"/>
  <c r="NZ90" i="66"/>
  <c r="NY90" i="66"/>
  <c r="NX90" i="66"/>
  <c r="NW90" i="66"/>
  <c r="NV90" i="66"/>
  <c r="NU90" i="66"/>
  <c r="NT90" i="66"/>
  <c r="NS90" i="66"/>
  <c r="NR90" i="66"/>
  <c r="NQ90" i="66"/>
  <c r="NP90" i="66"/>
  <c r="NO90" i="66"/>
  <c r="NN90" i="66"/>
  <c r="NM90" i="66"/>
  <c r="NL90" i="66"/>
  <c r="NK90" i="66"/>
  <c r="NJ90" i="66"/>
  <c r="NI90" i="66"/>
  <c r="NH90" i="66"/>
  <c r="NG90" i="66"/>
  <c r="NE90" i="66"/>
  <c r="ND90" i="66"/>
  <c r="NC90" i="66"/>
  <c r="NB90" i="66"/>
  <c r="NA90" i="66"/>
  <c r="MZ90" i="66"/>
  <c r="MY90" i="66"/>
  <c r="MX90" i="66"/>
  <c r="MW90" i="66"/>
  <c r="MV90" i="66"/>
  <c r="MU90" i="66"/>
  <c r="MT90" i="66"/>
  <c r="MS90" i="66"/>
  <c r="MR90" i="66"/>
  <c r="MQ90" i="66"/>
  <c r="MP90" i="66"/>
  <c r="MO90" i="66"/>
  <c r="MN90" i="66"/>
  <c r="MM90" i="66"/>
  <c r="ML90" i="66"/>
  <c r="MK90" i="66"/>
  <c r="MJ90" i="66"/>
  <c r="MI90" i="66"/>
  <c r="MH90" i="66"/>
  <c r="MG90" i="66"/>
  <c r="MF90" i="66"/>
  <c r="ME90" i="66"/>
  <c r="MD90" i="66"/>
  <c r="MC90" i="66"/>
  <c r="MB90" i="66"/>
  <c r="LZ90" i="66"/>
  <c r="LY90" i="66"/>
  <c r="LX90" i="66"/>
  <c r="LW90" i="66"/>
  <c r="LV90" i="66"/>
  <c r="LU90" i="66"/>
  <c r="LT90" i="66"/>
  <c r="LS90" i="66"/>
  <c r="LR90" i="66"/>
  <c r="LQ90" i="66"/>
  <c r="LP90" i="66"/>
  <c r="LO90" i="66"/>
  <c r="LN90" i="66"/>
  <c r="LM90" i="66"/>
  <c r="LL90" i="66"/>
  <c r="LK90" i="66"/>
  <c r="LJ90" i="66"/>
  <c r="LI90" i="66"/>
  <c r="LH90" i="66"/>
  <c r="LG90" i="66"/>
  <c r="LF90" i="66"/>
  <c r="LE90" i="66"/>
  <c r="LD90" i="66"/>
  <c r="LC90" i="66"/>
  <c r="LB90" i="66"/>
  <c r="LA90" i="66"/>
  <c r="KZ90" i="66"/>
  <c r="KY90" i="66"/>
  <c r="KX90" i="66"/>
  <c r="KW90" i="66"/>
  <c r="KV90" i="66"/>
  <c r="KU90" i="66"/>
  <c r="KT90" i="66"/>
  <c r="KS90" i="66"/>
  <c r="KR90" i="66"/>
  <c r="KQ90" i="66"/>
  <c r="KP90" i="66"/>
  <c r="KO90" i="66"/>
  <c r="KN90" i="66"/>
  <c r="KM90" i="66"/>
  <c r="KL90" i="66"/>
  <c r="KK90" i="66"/>
  <c r="KJ90" i="66"/>
  <c r="KI90" i="66"/>
  <c r="KH90" i="66"/>
  <c r="KG90" i="66"/>
  <c r="KF90" i="66"/>
  <c r="KE90" i="66"/>
  <c r="KD90" i="66"/>
  <c r="KC90" i="66"/>
  <c r="KB90" i="66"/>
  <c r="KA90" i="66"/>
  <c r="JZ90" i="66"/>
  <c r="JY90" i="66"/>
  <c r="JX90" i="66"/>
  <c r="JW90" i="66"/>
  <c r="JV90" i="66"/>
  <c r="JU90" i="66"/>
  <c r="JT90" i="66"/>
  <c r="JS90" i="66"/>
  <c r="JR90" i="66"/>
  <c r="JQ90" i="66"/>
  <c r="JP90" i="66"/>
  <c r="JO90" i="66"/>
  <c r="JN90" i="66"/>
  <c r="JM90" i="66"/>
  <c r="JL90" i="66"/>
  <c r="JK90" i="66"/>
  <c r="JJ90" i="66"/>
  <c r="JI90" i="66"/>
  <c r="JH90" i="66"/>
  <c r="JG90" i="66"/>
  <c r="JF90" i="66"/>
  <c r="JE90" i="66"/>
  <c r="JD90" i="66"/>
  <c r="JC90" i="66"/>
  <c r="JB90" i="66"/>
  <c r="JA90" i="66"/>
  <c r="IZ90" i="66"/>
  <c r="IY90" i="66"/>
  <c r="IX90" i="66"/>
  <c r="IW90" i="66"/>
  <c r="IV90" i="66"/>
  <c r="IU90" i="66"/>
  <c r="IT90" i="66"/>
  <c r="IS90" i="66"/>
  <c r="IR90" i="66"/>
  <c r="IQ90" i="66"/>
  <c r="IP90" i="66"/>
  <c r="IO90" i="66"/>
  <c r="IN90" i="66"/>
  <c r="IM90" i="66"/>
  <c r="IL90" i="66"/>
  <c r="IK90" i="66"/>
  <c r="IJ90" i="66"/>
  <c r="II90" i="66"/>
  <c r="IH90" i="66"/>
  <c r="IG90" i="66"/>
  <c r="IF90" i="66"/>
  <c r="IE90" i="66"/>
  <c r="ID90" i="66"/>
  <c r="IC90" i="66"/>
  <c r="IB90" i="66"/>
  <c r="IA90" i="66"/>
  <c r="HZ90" i="66"/>
  <c r="HY90" i="66"/>
  <c r="HX90" i="66"/>
  <c r="HW90" i="66"/>
  <c r="HV90" i="66"/>
  <c r="HU90" i="66"/>
  <c r="HT90" i="66"/>
  <c r="HS90" i="66"/>
  <c r="HR90" i="66"/>
  <c r="HQ90" i="66"/>
  <c r="HP90" i="66"/>
  <c r="HO90" i="66"/>
  <c r="HN90" i="66"/>
  <c r="HM90" i="66"/>
  <c r="HL90" i="66"/>
  <c r="HK90" i="66"/>
  <c r="HJ90" i="66"/>
  <c r="HI90" i="66"/>
  <c r="HH90" i="66"/>
  <c r="HG90" i="66"/>
  <c r="HF90" i="66"/>
  <c r="HE90" i="66"/>
  <c r="HD90" i="66"/>
  <c r="HC90" i="66"/>
  <c r="HB90" i="66"/>
  <c r="HA90" i="66"/>
  <c r="GZ90" i="66"/>
  <c r="GY90" i="66"/>
  <c r="GX90" i="66"/>
  <c r="GW90" i="66"/>
  <c r="GV90" i="66"/>
  <c r="GU90" i="66"/>
  <c r="GT90" i="66"/>
  <c r="GS90" i="66"/>
  <c r="GR90" i="66"/>
  <c r="GQ90" i="66"/>
  <c r="GP90" i="66"/>
  <c r="GO90" i="66"/>
  <c r="GN90" i="66"/>
  <c r="GM90" i="66"/>
  <c r="GL90" i="66"/>
  <c r="GK90" i="66"/>
  <c r="GJ90" i="66"/>
  <c r="GI90" i="66"/>
  <c r="GH90" i="66"/>
  <c r="GG90" i="66"/>
  <c r="GF90" i="66"/>
  <c r="GE90" i="66"/>
  <c r="GD90" i="66"/>
  <c r="GC90" i="66"/>
  <c r="GB90" i="66"/>
  <c r="GA90" i="66"/>
  <c r="FZ90" i="66"/>
  <c r="FY90" i="66"/>
  <c r="FX90" i="66"/>
  <c r="FW90" i="66"/>
  <c r="FV90" i="66"/>
  <c r="FU90" i="66"/>
  <c r="FT90" i="66"/>
  <c r="FS90" i="66"/>
  <c r="FR90" i="66"/>
  <c r="FQ90" i="66"/>
  <c r="FP90" i="66"/>
  <c r="FO90" i="66"/>
  <c r="FN90" i="66"/>
  <c r="FM90" i="66"/>
  <c r="FL90" i="66"/>
  <c r="FK90" i="66"/>
  <c r="FJ90" i="66"/>
  <c r="FI90" i="66"/>
  <c r="FH90" i="66"/>
  <c r="FG90" i="66"/>
  <c r="FF90" i="66"/>
  <c r="FE90" i="66"/>
  <c r="FD90" i="66"/>
  <c r="FC90" i="66"/>
  <c r="FB90" i="66"/>
  <c r="FA90" i="66"/>
  <c r="EZ90" i="66"/>
  <c r="EY90" i="66"/>
  <c r="EX90" i="66"/>
  <c r="EW90" i="66"/>
  <c r="EV90" i="66"/>
  <c r="EU90" i="66"/>
  <c r="ET90" i="66"/>
  <c r="ES90" i="66"/>
  <c r="ER90" i="66"/>
  <c r="EQ90" i="66"/>
  <c r="EP90" i="66"/>
  <c r="EO90" i="66"/>
  <c r="EN90" i="66"/>
  <c r="EM90" i="66"/>
  <c r="EK90" i="66"/>
  <c r="EJ90" i="66"/>
  <c r="EI90" i="66"/>
  <c r="EH90" i="66"/>
  <c r="EG90" i="66"/>
  <c r="EF90" i="66"/>
  <c r="EE90" i="66"/>
  <c r="ED90" i="66"/>
  <c r="EC90" i="66"/>
  <c r="EB90" i="66"/>
  <c r="EA90" i="66"/>
  <c r="DZ90" i="66"/>
  <c r="DY90" i="66"/>
  <c r="DX90" i="66"/>
  <c r="DW90" i="66"/>
  <c r="DV90" i="66"/>
  <c r="DU90" i="66"/>
  <c r="DT90" i="66"/>
  <c r="DS90" i="66"/>
  <c r="DR90" i="66"/>
  <c r="DQ90" i="66"/>
  <c r="DP90" i="66"/>
  <c r="DO90" i="66"/>
  <c r="DN90" i="66"/>
  <c r="DM90" i="66"/>
  <c r="DL90" i="66"/>
  <c r="DK90" i="66"/>
  <c r="DJ90" i="66"/>
  <c r="DI90" i="66"/>
  <c r="DH90" i="66"/>
  <c r="DG90" i="66"/>
  <c r="DF90" i="66"/>
  <c r="DE90" i="66"/>
  <c r="DD90" i="66"/>
  <c r="DC90" i="66"/>
  <c r="DB90" i="66"/>
  <c r="DA90" i="66"/>
  <c r="CZ90" i="66"/>
  <c r="CY90" i="66"/>
  <c r="CX90" i="66"/>
  <c r="CW90" i="66"/>
  <c r="CV90" i="66"/>
  <c r="CU90" i="66"/>
  <c r="CT90" i="66"/>
  <c r="CS90" i="66"/>
  <c r="CR90" i="66"/>
  <c r="CQ90" i="66"/>
  <c r="CP90" i="66"/>
  <c r="CO90" i="66"/>
  <c r="CN90" i="66"/>
  <c r="CM90" i="66"/>
  <c r="CL90" i="66"/>
  <c r="CK90" i="66"/>
  <c r="CJ90" i="66"/>
  <c r="CI90" i="66"/>
  <c r="CH90" i="66"/>
  <c r="CG90" i="66"/>
  <c r="CF90" i="66"/>
  <c r="CE90" i="66"/>
  <c r="CD90" i="66"/>
  <c r="CC90" i="66"/>
  <c r="CB90" i="66"/>
  <c r="CA90" i="66"/>
  <c r="BZ90" i="66"/>
  <c r="BY90" i="66"/>
  <c r="BX90" i="66"/>
  <c r="BW90" i="66"/>
  <c r="BV90" i="66"/>
  <c r="BU90" i="66"/>
  <c r="BT90" i="66"/>
  <c r="BS90" i="66"/>
  <c r="BR90" i="66"/>
  <c r="BQ90" i="66"/>
  <c r="BP90" i="66"/>
  <c r="BO90" i="66"/>
  <c r="BN90" i="66"/>
  <c r="BM90" i="66"/>
  <c r="BL90" i="66"/>
  <c r="BK90" i="66"/>
  <c r="BJ90" i="66"/>
  <c r="BI90" i="66"/>
  <c r="BH90" i="66"/>
  <c r="BG90" i="66"/>
  <c r="BF90" i="66"/>
  <c r="BE90" i="66"/>
  <c r="BD90" i="66"/>
  <c r="BC90" i="66"/>
  <c r="BB90" i="66"/>
  <c r="BA90" i="66"/>
  <c r="AZ90" i="66"/>
  <c r="AY90" i="66"/>
  <c r="AX90" i="66"/>
  <c r="AW90" i="66"/>
  <c r="AV90" i="66"/>
  <c r="AU90" i="66"/>
  <c r="AT90" i="66"/>
  <c r="AS90" i="66"/>
  <c r="AR90" i="66"/>
  <c r="AQ90" i="66"/>
  <c r="AP90" i="66"/>
  <c r="AO90" i="66"/>
  <c r="AN90" i="66"/>
  <c r="AM90" i="66"/>
  <c r="AL90" i="66"/>
  <c r="AK90" i="66"/>
  <c r="AJ90" i="66"/>
  <c r="AI90" i="66"/>
  <c r="AH90" i="66"/>
  <c r="AG90" i="66"/>
  <c r="AF90" i="66"/>
  <c r="AE90" i="66"/>
  <c r="AD90" i="66"/>
  <c r="AC90" i="66"/>
  <c r="AB90" i="66"/>
  <c r="AA90" i="66"/>
  <c r="Z90" i="66"/>
  <c r="Y90" i="66"/>
  <c r="X90" i="66"/>
  <c r="W90" i="66"/>
  <c r="V90" i="66"/>
  <c r="U90" i="66"/>
  <c r="T90" i="66"/>
  <c r="O89" i="66"/>
  <c r="O88" i="66"/>
  <c r="O87" i="66"/>
  <c r="R85" i="66"/>
  <c r="Q85" i="66"/>
  <c r="P85" i="66"/>
  <c r="N85" i="66"/>
  <c r="M85" i="66"/>
  <c r="L85" i="66"/>
  <c r="L86" i="66" s="1"/>
  <c r="L90" i="66" s="1"/>
  <c r="K85" i="66"/>
  <c r="J85" i="66"/>
  <c r="J86" i="66" s="1"/>
  <c r="J90" i="66" s="1"/>
  <c r="I85" i="66"/>
  <c r="O84" i="66"/>
  <c r="O83" i="66"/>
  <c r="O82" i="66"/>
  <c r="O85" i="66" s="1"/>
  <c r="O81" i="66"/>
  <c r="O80" i="66"/>
  <c r="O79" i="66"/>
  <c r="R78" i="66"/>
  <c r="R86" i="66" s="1"/>
  <c r="R90" i="66" s="1"/>
  <c r="Q78" i="66"/>
  <c r="P78" i="66"/>
  <c r="P86" i="66" s="1"/>
  <c r="N78" i="66"/>
  <c r="M78" i="66"/>
  <c r="L78" i="66"/>
  <c r="K78" i="66"/>
  <c r="K86" i="66" s="1"/>
  <c r="K90" i="66" s="1"/>
  <c r="J78" i="66"/>
  <c r="I78" i="66"/>
  <c r="O77" i="66"/>
  <c r="O76" i="66"/>
  <c r="O75" i="66"/>
  <c r="O74" i="66"/>
  <c r="O73" i="66"/>
  <c r="O72" i="66"/>
  <c r="R71" i="66"/>
  <c r="Q71" i="66"/>
  <c r="P71" i="66"/>
  <c r="N71" i="66"/>
  <c r="M71" i="66"/>
  <c r="L71" i="66"/>
  <c r="K71" i="66"/>
  <c r="J71" i="66"/>
  <c r="I71" i="66"/>
  <c r="O70" i="66"/>
  <c r="O69" i="66"/>
  <c r="O68" i="66"/>
  <c r="O67" i="66"/>
  <c r="O71" i="66" s="1"/>
  <c r="OH66" i="66"/>
  <c r="OG66" i="66"/>
  <c r="OF66" i="66"/>
  <c r="OE66" i="66"/>
  <c r="OD66" i="66"/>
  <c r="OC66" i="66"/>
  <c r="OB66" i="66"/>
  <c r="OA66" i="66"/>
  <c r="NZ66" i="66"/>
  <c r="NY66" i="66"/>
  <c r="NX66" i="66"/>
  <c r="NW66" i="66"/>
  <c r="NV66" i="66"/>
  <c r="NU66" i="66"/>
  <c r="NT66" i="66"/>
  <c r="NS66" i="66"/>
  <c r="NR66" i="66"/>
  <c r="NQ66" i="66"/>
  <c r="NP66" i="66"/>
  <c r="NO66" i="66"/>
  <c r="NN66" i="66"/>
  <c r="NM66" i="66"/>
  <c r="NL66" i="66"/>
  <c r="NK66" i="66"/>
  <c r="NJ66" i="66"/>
  <c r="NI66" i="66"/>
  <c r="NH66" i="66"/>
  <c r="NG66" i="66"/>
  <c r="NE66" i="66"/>
  <c r="ND66" i="66"/>
  <c r="NC66" i="66"/>
  <c r="NB66" i="66"/>
  <c r="NA66" i="66"/>
  <c r="MZ66" i="66"/>
  <c r="MY66" i="66"/>
  <c r="MX66" i="66"/>
  <c r="MW66" i="66"/>
  <c r="MV66" i="66"/>
  <c r="MU66" i="66"/>
  <c r="MT66" i="66"/>
  <c r="MS66" i="66"/>
  <c r="MR66" i="66"/>
  <c r="MQ66" i="66"/>
  <c r="MP66" i="66"/>
  <c r="MO66" i="66"/>
  <c r="MN66" i="66"/>
  <c r="MM66" i="66"/>
  <c r="ML66" i="66"/>
  <c r="MK66" i="66"/>
  <c r="MJ66" i="66"/>
  <c r="MI66" i="66"/>
  <c r="MH66" i="66"/>
  <c r="MG66" i="66"/>
  <c r="MF66" i="66"/>
  <c r="ME66" i="66"/>
  <c r="MD66" i="66"/>
  <c r="MC66" i="66"/>
  <c r="MB66" i="66"/>
  <c r="LZ66" i="66"/>
  <c r="LY66" i="66"/>
  <c r="LX66" i="66"/>
  <c r="LW66" i="66"/>
  <c r="LV66" i="66"/>
  <c r="LU66" i="66"/>
  <c r="LT66" i="66"/>
  <c r="LS66" i="66"/>
  <c r="LR66" i="66"/>
  <c r="LQ66" i="66"/>
  <c r="LP66" i="66"/>
  <c r="LO66" i="66"/>
  <c r="LN66" i="66"/>
  <c r="LM66" i="66"/>
  <c r="LL66" i="66"/>
  <c r="LK66" i="66"/>
  <c r="LJ66" i="66"/>
  <c r="LI66" i="66"/>
  <c r="LH66" i="66"/>
  <c r="LG66" i="66"/>
  <c r="LF66" i="66"/>
  <c r="LE66" i="66"/>
  <c r="LD66" i="66"/>
  <c r="LC66" i="66"/>
  <c r="LB66" i="66"/>
  <c r="LA66" i="66"/>
  <c r="KZ66" i="66"/>
  <c r="KY66" i="66"/>
  <c r="KX66" i="66"/>
  <c r="KW66" i="66"/>
  <c r="KV66" i="66"/>
  <c r="KU66" i="66"/>
  <c r="KT66" i="66"/>
  <c r="KS66" i="66"/>
  <c r="KR66" i="66"/>
  <c r="KQ66" i="66"/>
  <c r="KP66" i="66"/>
  <c r="KO66" i="66"/>
  <c r="KN66" i="66"/>
  <c r="KM66" i="66"/>
  <c r="KL66" i="66"/>
  <c r="KK66" i="66"/>
  <c r="KJ66" i="66"/>
  <c r="KI66" i="66"/>
  <c r="KH66" i="66"/>
  <c r="KG66" i="66"/>
  <c r="KF66" i="66"/>
  <c r="KE66" i="66"/>
  <c r="KD66" i="66"/>
  <c r="KC66" i="66"/>
  <c r="KB66" i="66"/>
  <c r="KA66" i="66"/>
  <c r="JZ66" i="66"/>
  <c r="JY66" i="66"/>
  <c r="JX66" i="66"/>
  <c r="JW66" i="66"/>
  <c r="JV66" i="66"/>
  <c r="JU66" i="66"/>
  <c r="JT66" i="66"/>
  <c r="JS66" i="66"/>
  <c r="JR66" i="66"/>
  <c r="JQ66" i="66"/>
  <c r="JP66" i="66"/>
  <c r="JO66" i="66"/>
  <c r="JN66" i="66"/>
  <c r="JM66" i="66"/>
  <c r="JL66" i="66"/>
  <c r="JK66" i="66"/>
  <c r="JJ66" i="66"/>
  <c r="JI66" i="66"/>
  <c r="JH66" i="66"/>
  <c r="JG66" i="66"/>
  <c r="JF66" i="66"/>
  <c r="JE66" i="66"/>
  <c r="JD66" i="66"/>
  <c r="JC66" i="66"/>
  <c r="JB66" i="66"/>
  <c r="JA66" i="66"/>
  <c r="IZ66" i="66"/>
  <c r="IY66" i="66"/>
  <c r="IX66" i="66"/>
  <c r="IW66" i="66"/>
  <c r="IV66" i="66"/>
  <c r="IU66" i="66"/>
  <c r="IT66" i="66"/>
  <c r="IS66" i="66"/>
  <c r="IR66" i="66"/>
  <c r="IQ66" i="66"/>
  <c r="IP66" i="66"/>
  <c r="IO66" i="66"/>
  <c r="IN66" i="66"/>
  <c r="IM66" i="66"/>
  <c r="IL66" i="66"/>
  <c r="IK66" i="66"/>
  <c r="IJ66" i="66"/>
  <c r="II66" i="66"/>
  <c r="IH66" i="66"/>
  <c r="IG66" i="66"/>
  <c r="IF66" i="66"/>
  <c r="IE66" i="66"/>
  <c r="ID66" i="66"/>
  <c r="IC66" i="66"/>
  <c r="IB66" i="66"/>
  <c r="IA66" i="66"/>
  <c r="HZ66" i="66"/>
  <c r="HY66" i="66"/>
  <c r="HX66" i="66"/>
  <c r="HW66" i="66"/>
  <c r="HV66" i="66"/>
  <c r="HU66" i="66"/>
  <c r="HT66" i="66"/>
  <c r="HS66" i="66"/>
  <c r="HR66" i="66"/>
  <c r="HQ66" i="66"/>
  <c r="HP66" i="66"/>
  <c r="HO66" i="66"/>
  <c r="HN66" i="66"/>
  <c r="HM66" i="66"/>
  <c r="HL66" i="66"/>
  <c r="HK66" i="66"/>
  <c r="HJ66" i="66"/>
  <c r="HI66" i="66"/>
  <c r="HH66" i="66"/>
  <c r="HG66" i="66"/>
  <c r="HF66" i="66"/>
  <c r="HE66" i="66"/>
  <c r="HD66" i="66"/>
  <c r="HC66" i="66"/>
  <c r="HB66" i="66"/>
  <c r="HA66" i="66"/>
  <c r="GZ66" i="66"/>
  <c r="GY66" i="66"/>
  <c r="GX66" i="66"/>
  <c r="GW66" i="66"/>
  <c r="GV66" i="66"/>
  <c r="GU66" i="66"/>
  <c r="GT66" i="66"/>
  <c r="GS66" i="66"/>
  <c r="GR66" i="66"/>
  <c r="GQ66" i="66"/>
  <c r="GP66" i="66"/>
  <c r="GO66" i="66"/>
  <c r="GN66" i="66"/>
  <c r="GM66" i="66"/>
  <c r="GL66" i="66"/>
  <c r="GK66" i="66"/>
  <c r="GJ66" i="66"/>
  <c r="GI66" i="66"/>
  <c r="GH66" i="66"/>
  <c r="GG66" i="66"/>
  <c r="GF66" i="66"/>
  <c r="GE66" i="66"/>
  <c r="GD66" i="66"/>
  <c r="GC66" i="66"/>
  <c r="GB66" i="66"/>
  <c r="GA66" i="66"/>
  <c r="FZ66" i="66"/>
  <c r="FY66" i="66"/>
  <c r="FX66" i="66"/>
  <c r="FW66" i="66"/>
  <c r="FV66" i="66"/>
  <c r="FU66" i="66"/>
  <c r="FT66" i="66"/>
  <c r="FS66" i="66"/>
  <c r="FR66" i="66"/>
  <c r="FQ66" i="66"/>
  <c r="FP66" i="66"/>
  <c r="FO66" i="66"/>
  <c r="FN66" i="66"/>
  <c r="FM66" i="66"/>
  <c r="FL66" i="66"/>
  <c r="FK66" i="66"/>
  <c r="FJ66" i="66"/>
  <c r="FI66" i="66"/>
  <c r="FH66" i="66"/>
  <c r="FG66" i="66"/>
  <c r="FF66" i="66"/>
  <c r="FE66" i="66"/>
  <c r="FD66" i="66"/>
  <c r="FC66" i="66"/>
  <c r="FB66" i="66"/>
  <c r="FA66" i="66"/>
  <c r="EZ66" i="66"/>
  <c r="EY66" i="66"/>
  <c r="EX66" i="66"/>
  <c r="EW66" i="66"/>
  <c r="EV66" i="66"/>
  <c r="EU66" i="66"/>
  <c r="ET66" i="66"/>
  <c r="ES66" i="66"/>
  <c r="ER66" i="66"/>
  <c r="EQ66" i="66"/>
  <c r="EP66" i="66"/>
  <c r="EO66" i="66"/>
  <c r="EN66" i="66"/>
  <c r="EM66" i="66"/>
  <c r="EK66" i="66"/>
  <c r="EJ66" i="66"/>
  <c r="EI66" i="66"/>
  <c r="EH66" i="66"/>
  <c r="EG66" i="66"/>
  <c r="EF66" i="66"/>
  <c r="EE66" i="66"/>
  <c r="ED66" i="66"/>
  <c r="EC66" i="66"/>
  <c r="EB66" i="66"/>
  <c r="EA66" i="66"/>
  <c r="DZ66" i="66"/>
  <c r="DY66" i="66"/>
  <c r="DX66" i="66"/>
  <c r="DW66" i="66"/>
  <c r="DV66" i="66"/>
  <c r="DU66" i="66"/>
  <c r="DT66" i="66"/>
  <c r="DS66" i="66"/>
  <c r="DR66" i="66"/>
  <c r="DQ66" i="66"/>
  <c r="DP66" i="66"/>
  <c r="DO66" i="66"/>
  <c r="DN66" i="66"/>
  <c r="DM66" i="66"/>
  <c r="DL66" i="66"/>
  <c r="DK66" i="66"/>
  <c r="DJ66" i="66"/>
  <c r="DI66" i="66"/>
  <c r="DH66" i="66"/>
  <c r="DG66" i="66"/>
  <c r="DF66" i="66"/>
  <c r="DE66" i="66"/>
  <c r="DD66" i="66"/>
  <c r="DC66" i="66"/>
  <c r="DB66" i="66"/>
  <c r="DA66" i="66"/>
  <c r="CZ66" i="66"/>
  <c r="CY66" i="66"/>
  <c r="CX66" i="66"/>
  <c r="CW66" i="66"/>
  <c r="CV66" i="66"/>
  <c r="CU66" i="66"/>
  <c r="CT66" i="66"/>
  <c r="CS66" i="66"/>
  <c r="CR66" i="66"/>
  <c r="CQ66" i="66"/>
  <c r="CP66" i="66"/>
  <c r="CO66" i="66"/>
  <c r="CN66" i="66"/>
  <c r="CM66" i="66"/>
  <c r="CL66" i="66"/>
  <c r="CK66" i="66"/>
  <c r="CJ66" i="66"/>
  <c r="CI66" i="66"/>
  <c r="CH66" i="66"/>
  <c r="CG66" i="66"/>
  <c r="CF66" i="66"/>
  <c r="CE66" i="66"/>
  <c r="CD66" i="66"/>
  <c r="CC66" i="66"/>
  <c r="CB66" i="66"/>
  <c r="CA66" i="66"/>
  <c r="BZ66" i="66"/>
  <c r="BY66" i="66"/>
  <c r="BX66" i="66"/>
  <c r="BW66" i="66"/>
  <c r="BV66" i="66"/>
  <c r="BU66" i="66"/>
  <c r="BT66" i="66"/>
  <c r="BS66" i="66"/>
  <c r="BR66" i="66"/>
  <c r="BQ66" i="66"/>
  <c r="BP66" i="66"/>
  <c r="BO66" i="66"/>
  <c r="BN66" i="66"/>
  <c r="BM66" i="66"/>
  <c r="BL66" i="66"/>
  <c r="BK66" i="66"/>
  <c r="BJ66" i="66"/>
  <c r="BI66" i="66"/>
  <c r="BH66" i="66"/>
  <c r="BG66" i="66"/>
  <c r="BF66" i="66"/>
  <c r="BE66" i="66"/>
  <c r="BD66" i="66"/>
  <c r="BC66" i="66"/>
  <c r="BB66" i="66"/>
  <c r="BA66" i="66"/>
  <c r="AZ66" i="66"/>
  <c r="AY66" i="66"/>
  <c r="AX66" i="66"/>
  <c r="AW66" i="66"/>
  <c r="AV66" i="66"/>
  <c r="AU66" i="66"/>
  <c r="AT66" i="66"/>
  <c r="AS66" i="66"/>
  <c r="AR66" i="66"/>
  <c r="AQ66" i="66"/>
  <c r="AP66" i="66"/>
  <c r="AO66" i="66"/>
  <c r="AN66" i="66"/>
  <c r="AM66" i="66"/>
  <c r="AL66" i="66"/>
  <c r="AK66" i="66"/>
  <c r="AJ66" i="66"/>
  <c r="AI66" i="66"/>
  <c r="AH66" i="66"/>
  <c r="AG66" i="66"/>
  <c r="AF66" i="66"/>
  <c r="AE66" i="66"/>
  <c r="AD66" i="66"/>
  <c r="AC66" i="66"/>
  <c r="AB66" i="66"/>
  <c r="AA66" i="66"/>
  <c r="Z66" i="66"/>
  <c r="Y66" i="66"/>
  <c r="X66" i="66"/>
  <c r="W66" i="66"/>
  <c r="V66" i="66"/>
  <c r="U66" i="66"/>
  <c r="T66" i="66"/>
  <c r="R66" i="66"/>
  <c r="O65" i="66"/>
  <c r="O64" i="66"/>
  <c r="O63" i="66"/>
  <c r="M62" i="66"/>
  <c r="M66" i="66" s="1"/>
  <c r="L62" i="66"/>
  <c r="L66" i="66" s="1"/>
  <c r="Q61" i="66"/>
  <c r="P61" i="66"/>
  <c r="N61" i="66"/>
  <c r="M61" i="66"/>
  <c r="L61" i="66"/>
  <c r="K61" i="66"/>
  <c r="J61" i="66"/>
  <c r="I61" i="66"/>
  <c r="O60" i="66"/>
  <c r="O59" i="66"/>
  <c r="O58" i="66"/>
  <c r="O57" i="66"/>
  <c r="O56" i="66"/>
  <c r="O55" i="66"/>
  <c r="Q54" i="66"/>
  <c r="P54" i="66"/>
  <c r="P62" i="66" s="1"/>
  <c r="P66" i="66" s="1"/>
  <c r="N54" i="66"/>
  <c r="N62" i="66" s="1"/>
  <c r="N66" i="66" s="1"/>
  <c r="M54" i="66"/>
  <c r="L54" i="66"/>
  <c r="K54" i="66"/>
  <c r="J54" i="66"/>
  <c r="J62" i="66" s="1"/>
  <c r="J66" i="66" s="1"/>
  <c r="I54" i="66"/>
  <c r="O53" i="66"/>
  <c r="O52" i="66"/>
  <c r="O51" i="66"/>
  <c r="O50" i="66"/>
  <c r="O49" i="66"/>
  <c r="O48" i="66"/>
  <c r="OH47" i="66"/>
  <c r="OG47" i="66"/>
  <c r="OF47" i="66"/>
  <c r="OE47" i="66"/>
  <c r="OD47" i="66"/>
  <c r="OC47" i="66"/>
  <c r="OB47" i="66"/>
  <c r="OA47" i="66"/>
  <c r="NZ47" i="66"/>
  <c r="NY47" i="66"/>
  <c r="NX47" i="66"/>
  <c r="NW47" i="66"/>
  <c r="NV47" i="66"/>
  <c r="NU47" i="66"/>
  <c r="NT47" i="66"/>
  <c r="NS47" i="66"/>
  <c r="NR47" i="66"/>
  <c r="NQ47" i="66"/>
  <c r="NP47" i="66"/>
  <c r="NO47" i="66"/>
  <c r="NN47" i="66"/>
  <c r="NM47" i="66"/>
  <c r="NL47" i="66"/>
  <c r="NK47" i="66"/>
  <c r="NJ47" i="66"/>
  <c r="NI47" i="66"/>
  <c r="NH47" i="66"/>
  <c r="NG47" i="66"/>
  <c r="NE47" i="66"/>
  <c r="ND47" i="66"/>
  <c r="NC47" i="66"/>
  <c r="NB47" i="66"/>
  <c r="NA47" i="66"/>
  <c r="MZ47" i="66"/>
  <c r="MY47" i="66"/>
  <c r="MX47" i="66"/>
  <c r="MW47" i="66"/>
  <c r="MV47" i="66"/>
  <c r="MU47" i="66"/>
  <c r="MT47" i="66"/>
  <c r="MS47" i="66"/>
  <c r="MR47" i="66"/>
  <c r="MQ47" i="66"/>
  <c r="MP47" i="66"/>
  <c r="MO47" i="66"/>
  <c r="MN47" i="66"/>
  <c r="MM47" i="66"/>
  <c r="ML47" i="66"/>
  <c r="MK47" i="66"/>
  <c r="MJ47" i="66"/>
  <c r="MI47" i="66"/>
  <c r="MH47" i="66"/>
  <c r="MG47" i="66"/>
  <c r="MF47" i="66"/>
  <c r="ME47" i="66"/>
  <c r="MD47" i="66"/>
  <c r="MC47" i="66"/>
  <c r="MB47" i="66"/>
  <c r="LZ47" i="66"/>
  <c r="LY47" i="66"/>
  <c r="LX47" i="66"/>
  <c r="LW47" i="66"/>
  <c r="LV47" i="66"/>
  <c r="LU47" i="66"/>
  <c r="LT47" i="66"/>
  <c r="LS47" i="66"/>
  <c r="LR47" i="66"/>
  <c r="LQ47" i="66"/>
  <c r="LP47" i="66"/>
  <c r="LO47" i="66"/>
  <c r="LN47" i="66"/>
  <c r="LM47" i="66"/>
  <c r="LL47" i="66"/>
  <c r="LK47" i="66"/>
  <c r="LJ47" i="66"/>
  <c r="LI47" i="66"/>
  <c r="LH47" i="66"/>
  <c r="LG47" i="66"/>
  <c r="LF47" i="66"/>
  <c r="LE47" i="66"/>
  <c r="LD47" i="66"/>
  <c r="LC47" i="66"/>
  <c r="LB47" i="66"/>
  <c r="LA47" i="66"/>
  <c r="KZ47" i="66"/>
  <c r="KY47" i="66"/>
  <c r="KX47" i="66"/>
  <c r="KW47" i="66"/>
  <c r="KV47" i="66"/>
  <c r="KU47" i="66"/>
  <c r="KT47" i="66"/>
  <c r="KS47" i="66"/>
  <c r="KR47" i="66"/>
  <c r="KQ47" i="66"/>
  <c r="KP47" i="66"/>
  <c r="KO47" i="66"/>
  <c r="KN47" i="66"/>
  <c r="KM47" i="66"/>
  <c r="KL47" i="66"/>
  <c r="KK47" i="66"/>
  <c r="KJ47" i="66"/>
  <c r="KI47" i="66"/>
  <c r="KH47" i="66"/>
  <c r="KG47" i="66"/>
  <c r="KF47" i="66"/>
  <c r="KE47" i="66"/>
  <c r="KD47" i="66"/>
  <c r="KC47" i="66"/>
  <c r="KB47" i="66"/>
  <c r="KA47" i="66"/>
  <c r="JZ47" i="66"/>
  <c r="JY47" i="66"/>
  <c r="JX47" i="66"/>
  <c r="JW47" i="66"/>
  <c r="JV47" i="66"/>
  <c r="JU47" i="66"/>
  <c r="JT47" i="66"/>
  <c r="JS47" i="66"/>
  <c r="JR47" i="66"/>
  <c r="JQ47" i="66"/>
  <c r="JP47" i="66"/>
  <c r="JO47" i="66"/>
  <c r="JN47" i="66"/>
  <c r="JM47" i="66"/>
  <c r="JL47" i="66"/>
  <c r="JK47" i="66"/>
  <c r="JJ47" i="66"/>
  <c r="JI47" i="66"/>
  <c r="JH47" i="66"/>
  <c r="JG47" i="66"/>
  <c r="JF47" i="66"/>
  <c r="JE47" i="66"/>
  <c r="JD47" i="66"/>
  <c r="JC47" i="66"/>
  <c r="JB47" i="66"/>
  <c r="JA47" i="66"/>
  <c r="IZ47" i="66"/>
  <c r="IY47" i="66"/>
  <c r="IX47" i="66"/>
  <c r="IW47" i="66"/>
  <c r="IV47" i="66"/>
  <c r="IU47" i="66"/>
  <c r="IT47" i="66"/>
  <c r="IS47" i="66"/>
  <c r="IR47" i="66"/>
  <c r="IQ47" i="66"/>
  <c r="IP47" i="66"/>
  <c r="IO47" i="66"/>
  <c r="IN47" i="66"/>
  <c r="IM47" i="66"/>
  <c r="IL47" i="66"/>
  <c r="IK47" i="66"/>
  <c r="IJ47" i="66"/>
  <c r="II47" i="66"/>
  <c r="IH47" i="66"/>
  <c r="IG47" i="66"/>
  <c r="IF47" i="66"/>
  <c r="IE47" i="66"/>
  <c r="ID47" i="66"/>
  <c r="IC47" i="66"/>
  <c r="IB47" i="66"/>
  <c r="IA47" i="66"/>
  <c r="HZ47" i="66"/>
  <c r="HY47" i="66"/>
  <c r="HX47" i="66"/>
  <c r="HW47" i="66"/>
  <c r="HV47" i="66"/>
  <c r="HU47" i="66"/>
  <c r="HT47" i="66"/>
  <c r="HS47" i="66"/>
  <c r="HR47" i="66"/>
  <c r="HQ47" i="66"/>
  <c r="HP47" i="66"/>
  <c r="HO47" i="66"/>
  <c r="HN47" i="66"/>
  <c r="HM47" i="66"/>
  <c r="HL47" i="66"/>
  <c r="HK47" i="66"/>
  <c r="HJ47" i="66"/>
  <c r="HI47" i="66"/>
  <c r="HH47" i="66"/>
  <c r="HG47" i="66"/>
  <c r="HF47" i="66"/>
  <c r="HE47" i="66"/>
  <c r="HD47" i="66"/>
  <c r="HC47" i="66"/>
  <c r="HB47" i="66"/>
  <c r="HA47" i="66"/>
  <c r="GZ47" i="66"/>
  <c r="GY47" i="66"/>
  <c r="GX47" i="66"/>
  <c r="GW47" i="66"/>
  <c r="GV47" i="66"/>
  <c r="GU47" i="66"/>
  <c r="GT47" i="66"/>
  <c r="GS47" i="66"/>
  <c r="GR47" i="66"/>
  <c r="GQ47" i="66"/>
  <c r="GP47" i="66"/>
  <c r="GO47" i="66"/>
  <c r="GN47" i="66"/>
  <c r="GM47" i="66"/>
  <c r="GL47" i="66"/>
  <c r="GK47" i="66"/>
  <c r="GJ47" i="66"/>
  <c r="GI47" i="66"/>
  <c r="GH47" i="66"/>
  <c r="GG47" i="66"/>
  <c r="GF47" i="66"/>
  <c r="GE47" i="66"/>
  <c r="GD47" i="66"/>
  <c r="GC47" i="66"/>
  <c r="GB47" i="66"/>
  <c r="GA47" i="66"/>
  <c r="FZ47" i="66"/>
  <c r="FY47" i="66"/>
  <c r="FX47" i="66"/>
  <c r="FW47" i="66"/>
  <c r="FV47" i="66"/>
  <c r="FU47" i="66"/>
  <c r="FT47" i="66"/>
  <c r="FS47" i="66"/>
  <c r="FR47" i="66"/>
  <c r="FQ47" i="66"/>
  <c r="FP47" i="66"/>
  <c r="FO47" i="66"/>
  <c r="FN47" i="66"/>
  <c r="FM47" i="66"/>
  <c r="FL47" i="66"/>
  <c r="FK47" i="66"/>
  <c r="FJ47" i="66"/>
  <c r="FI47" i="66"/>
  <c r="FH47" i="66"/>
  <c r="FG47" i="66"/>
  <c r="FF47" i="66"/>
  <c r="FE47" i="66"/>
  <c r="FD47" i="66"/>
  <c r="FC47" i="66"/>
  <c r="FB47" i="66"/>
  <c r="FA47" i="66"/>
  <c r="EZ47" i="66"/>
  <c r="EY47" i="66"/>
  <c r="EX47" i="66"/>
  <c r="EW47" i="66"/>
  <c r="EV47" i="66"/>
  <c r="EU47" i="66"/>
  <c r="ET47" i="66"/>
  <c r="ES47" i="66"/>
  <c r="ER47" i="66"/>
  <c r="EQ47" i="66"/>
  <c r="EP47" i="66"/>
  <c r="EO47" i="66"/>
  <c r="EN47" i="66"/>
  <c r="EM47" i="66"/>
  <c r="EK47" i="66"/>
  <c r="EJ47" i="66"/>
  <c r="EI47" i="66"/>
  <c r="EH47" i="66"/>
  <c r="EG47" i="66"/>
  <c r="EF47" i="66"/>
  <c r="EE47" i="66"/>
  <c r="ED47" i="66"/>
  <c r="EC47" i="66"/>
  <c r="EB47" i="66"/>
  <c r="EA47" i="66"/>
  <c r="DZ47" i="66"/>
  <c r="DY47" i="66"/>
  <c r="DX47" i="66"/>
  <c r="DW47" i="66"/>
  <c r="DV47" i="66"/>
  <c r="DU47" i="66"/>
  <c r="DT47" i="66"/>
  <c r="DS47" i="66"/>
  <c r="DR47" i="66"/>
  <c r="DQ47" i="66"/>
  <c r="DP47" i="66"/>
  <c r="DO47" i="66"/>
  <c r="DN47" i="66"/>
  <c r="DM47" i="66"/>
  <c r="DL47" i="66"/>
  <c r="DK47" i="66"/>
  <c r="DJ47" i="66"/>
  <c r="DI47" i="66"/>
  <c r="DH47" i="66"/>
  <c r="DG47" i="66"/>
  <c r="DF47" i="66"/>
  <c r="DE47" i="66"/>
  <c r="DD47" i="66"/>
  <c r="DC47" i="66"/>
  <c r="DB47" i="66"/>
  <c r="DA47" i="66"/>
  <c r="CZ47" i="66"/>
  <c r="CY47" i="66"/>
  <c r="CX47" i="66"/>
  <c r="CW47" i="66"/>
  <c r="CV47" i="66"/>
  <c r="CU47" i="66"/>
  <c r="CT47" i="66"/>
  <c r="CS47" i="66"/>
  <c r="CR47" i="66"/>
  <c r="CQ47" i="66"/>
  <c r="CP47" i="66"/>
  <c r="CO47" i="66"/>
  <c r="CN47" i="66"/>
  <c r="CM47" i="66"/>
  <c r="CL47" i="66"/>
  <c r="CK47" i="66"/>
  <c r="CJ47" i="66"/>
  <c r="CI47" i="66"/>
  <c r="CH47" i="66"/>
  <c r="CG47" i="66"/>
  <c r="CF47" i="66"/>
  <c r="CE47" i="66"/>
  <c r="CD47" i="66"/>
  <c r="CC47" i="66"/>
  <c r="CB47" i="66"/>
  <c r="CA47" i="66"/>
  <c r="BZ47" i="66"/>
  <c r="BY47" i="66"/>
  <c r="BX47" i="66"/>
  <c r="BW47" i="66"/>
  <c r="BV47" i="66"/>
  <c r="BU47" i="66"/>
  <c r="BT47" i="66"/>
  <c r="BS47" i="66"/>
  <c r="BR47" i="66"/>
  <c r="BQ47" i="66"/>
  <c r="BP47" i="66"/>
  <c r="BO47" i="66"/>
  <c r="BN47" i="66"/>
  <c r="BM47" i="66"/>
  <c r="BL47" i="66"/>
  <c r="BK47" i="66"/>
  <c r="BJ47" i="66"/>
  <c r="BI47" i="66"/>
  <c r="BH47" i="66"/>
  <c r="BG47" i="66"/>
  <c r="BF47" i="66"/>
  <c r="BE47" i="66"/>
  <c r="BD47" i="66"/>
  <c r="BC47" i="66"/>
  <c r="BB47" i="66"/>
  <c r="BA47" i="66"/>
  <c r="AZ47" i="66"/>
  <c r="AY47" i="66"/>
  <c r="AX47" i="66"/>
  <c r="AW47" i="66"/>
  <c r="AV47" i="66"/>
  <c r="AU47" i="66"/>
  <c r="AT47" i="66"/>
  <c r="AS47" i="66"/>
  <c r="AR47" i="66"/>
  <c r="AQ47" i="66"/>
  <c r="AP47" i="66"/>
  <c r="AO47" i="66"/>
  <c r="AN47" i="66"/>
  <c r="AM47" i="66"/>
  <c r="AL47" i="66"/>
  <c r="AK47" i="66"/>
  <c r="AJ47" i="66"/>
  <c r="AI47" i="66"/>
  <c r="AH47" i="66"/>
  <c r="AG47" i="66"/>
  <c r="AF47" i="66"/>
  <c r="AE47" i="66"/>
  <c r="AD47" i="66"/>
  <c r="AC47" i="66"/>
  <c r="AB47" i="66"/>
  <c r="AA47" i="66"/>
  <c r="Z47" i="66"/>
  <c r="Y47" i="66"/>
  <c r="X47" i="66"/>
  <c r="W47" i="66"/>
  <c r="V47" i="66"/>
  <c r="U47" i="66"/>
  <c r="T47" i="66"/>
  <c r="O46" i="66"/>
  <c r="O45" i="66"/>
  <c r="O44" i="66"/>
  <c r="Q42" i="66"/>
  <c r="P42" i="66"/>
  <c r="N42" i="66"/>
  <c r="N43" i="66" s="1"/>
  <c r="N47" i="66" s="1"/>
  <c r="M42" i="66"/>
  <c r="L42" i="66"/>
  <c r="K42" i="66"/>
  <c r="K43" i="66" s="1"/>
  <c r="K47" i="66" s="1"/>
  <c r="J42" i="66"/>
  <c r="I42" i="66"/>
  <c r="O41" i="66"/>
  <c r="O40" i="66"/>
  <c r="O39" i="66"/>
  <c r="O38" i="66"/>
  <c r="O37" i="66"/>
  <c r="O36" i="66"/>
  <c r="O42" i="66" s="1"/>
  <c r="Q35" i="66"/>
  <c r="P35" i="66"/>
  <c r="N35" i="66"/>
  <c r="M35" i="66"/>
  <c r="M43" i="66" s="1"/>
  <c r="M47" i="66" s="1"/>
  <c r="L35" i="66"/>
  <c r="L43" i="66" s="1"/>
  <c r="K35" i="66"/>
  <c r="J35" i="66"/>
  <c r="I35" i="66"/>
  <c r="O34" i="66"/>
  <c r="O33" i="66"/>
  <c r="O32" i="66"/>
  <c r="O31" i="66"/>
  <c r="O30" i="66"/>
  <c r="B30" i="66"/>
  <c r="B31" i="66" s="1"/>
  <c r="B32" i="66" s="1"/>
  <c r="B33" i="66" s="1"/>
  <c r="B34" i="66" s="1"/>
  <c r="B35" i="66" s="1"/>
  <c r="B36" i="66" s="1"/>
  <c r="B37" i="66" s="1"/>
  <c r="B38" i="66" s="1"/>
  <c r="B39" i="66" s="1"/>
  <c r="B40" i="66" s="1"/>
  <c r="B41" i="66" s="1"/>
  <c r="O29" i="66"/>
  <c r="J2" i="66"/>
  <c r="K2" i="66" s="1"/>
  <c r="L2" i="66" s="1"/>
  <c r="M2" i="66" s="1"/>
  <c r="N2" i="66" s="1"/>
  <c r="O2" i="66" s="1"/>
  <c r="P2" i="66" s="1"/>
  <c r="Q2" i="66" s="1"/>
  <c r="R2" i="66" s="1"/>
  <c r="S2" i="66" s="1"/>
  <c r="T2" i="66" s="1"/>
  <c r="U2" i="66" s="1"/>
  <c r="V2" i="66" s="1"/>
  <c r="W2" i="66" s="1"/>
  <c r="X2" i="66" s="1"/>
  <c r="Y2" i="66" s="1"/>
  <c r="Z2" i="66" s="1"/>
  <c r="AA2" i="66" s="1"/>
  <c r="AB2" i="66" s="1"/>
  <c r="AC2" i="66" s="1"/>
  <c r="AD2" i="66" s="1"/>
  <c r="AE2" i="66" s="1"/>
  <c r="AF2" i="66" s="1"/>
  <c r="AG2" i="66" s="1"/>
  <c r="AH2" i="66" s="1"/>
  <c r="AI2" i="66" s="1"/>
  <c r="AJ2" i="66" s="1"/>
  <c r="AK2" i="66" s="1"/>
  <c r="AL2" i="66" s="1"/>
  <c r="AM2" i="66" s="1"/>
  <c r="AN2" i="66" s="1"/>
  <c r="AO2" i="66" s="1"/>
  <c r="AP2" i="66" s="1"/>
  <c r="AQ2" i="66" s="1"/>
  <c r="AR2" i="66" s="1"/>
  <c r="AS2" i="66" s="1"/>
  <c r="AT2" i="66" s="1"/>
  <c r="AU2" i="66" s="1"/>
  <c r="AV2" i="66" s="1"/>
  <c r="AW2" i="66" s="1"/>
  <c r="AX2" i="66" s="1"/>
  <c r="AY2" i="66" s="1"/>
  <c r="AZ2" i="66" s="1"/>
  <c r="BA2" i="66" s="1"/>
  <c r="BB2" i="66" s="1"/>
  <c r="BC2" i="66" l="1"/>
  <c r="BD2" i="66" s="1"/>
  <c r="BE2" i="66" s="1"/>
  <c r="BF2" i="66" s="1"/>
  <c r="BG2" i="66" s="1"/>
  <c r="BH2" i="66" s="1"/>
  <c r="BI2" i="66" s="1"/>
  <c r="BJ2" i="66" s="1"/>
  <c r="BK2" i="66" s="1"/>
  <c r="BL2" i="66" s="1"/>
  <c r="BM2" i="66" s="1"/>
  <c r="BN2" i="66" s="1"/>
  <c r="BO2" i="66" s="1"/>
  <c r="BP2" i="66" s="1"/>
  <c r="BQ2" i="66" s="1"/>
  <c r="BR2" i="66" s="1"/>
  <c r="BS2" i="66" s="1"/>
  <c r="BT2" i="66" s="1"/>
  <c r="BU2" i="66" s="1"/>
  <c r="BV2" i="66" s="1"/>
  <c r="BW2" i="66" s="1"/>
  <c r="BX2" i="66" s="1"/>
  <c r="BY2" i="66" s="1"/>
  <c r="BZ2" i="66" s="1"/>
  <c r="CA2" i="66" s="1"/>
  <c r="CB2" i="66" s="1"/>
  <c r="CC2" i="66" s="1"/>
  <c r="CD2" i="66" s="1"/>
  <c r="CE2" i="66" s="1"/>
  <c r="CF2" i="66" s="1"/>
  <c r="CG2" i="66" s="1"/>
  <c r="CH2" i="66" s="1"/>
  <c r="CI2" i="66" s="1"/>
  <c r="CJ2" i="66" s="1"/>
  <c r="CK2" i="66" s="1"/>
  <c r="CL2" i="66" s="1"/>
  <c r="CM2" i="66" s="1"/>
  <c r="CN2" i="66" s="1"/>
  <c r="CO2" i="66" s="1"/>
  <c r="CP2" i="66" s="1"/>
  <c r="CQ2" i="66" s="1"/>
  <c r="CR2" i="66" s="1"/>
  <c r="CS2" i="66" s="1"/>
  <c r="CT2" i="66" s="1"/>
  <c r="CU2" i="66" s="1"/>
  <c r="CV2" i="66" s="1"/>
  <c r="CW2" i="66" s="1"/>
  <c r="CX2" i="66" s="1"/>
  <c r="CY2" i="66" s="1"/>
  <c r="CZ2" i="66" s="1"/>
  <c r="DA2" i="66" s="1"/>
  <c r="DB2" i="66" s="1"/>
  <c r="DC2" i="66" s="1"/>
  <c r="DD2" i="66" s="1"/>
  <c r="DE2" i="66" s="1"/>
  <c r="DF2" i="66" s="1"/>
  <c r="DG2" i="66" s="1"/>
  <c r="DH2" i="66" s="1"/>
  <c r="DI2" i="66" s="1"/>
  <c r="DJ2" i="66" s="1"/>
  <c r="DK2" i="66" s="1"/>
  <c r="DL2" i="66" s="1"/>
  <c r="DM2" i="66" s="1"/>
  <c r="DN2" i="66" s="1"/>
  <c r="DO2" i="66" s="1"/>
  <c r="DP2" i="66" s="1"/>
  <c r="DQ2" i="66" s="1"/>
  <c r="DR2" i="66" s="1"/>
  <c r="DS2" i="66" s="1"/>
  <c r="DT2" i="66" s="1"/>
  <c r="DU2" i="66" s="1"/>
  <c r="DV2" i="66" s="1"/>
  <c r="DW2" i="66" s="1"/>
  <c r="DX2" i="66" s="1"/>
  <c r="DY2" i="66" s="1"/>
  <c r="DZ2" i="66" s="1"/>
  <c r="EA2" i="66" s="1"/>
  <c r="EB2" i="66" s="1"/>
  <c r="EC2" i="66" s="1"/>
  <c r="ED2" i="66" s="1"/>
  <c r="EE2" i="66" s="1"/>
  <c r="EF2" i="66" s="1"/>
  <c r="EG2" i="66" s="1"/>
  <c r="EH2" i="66" s="1"/>
  <c r="EI2" i="66" s="1"/>
  <c r="EJ2" i="66" s="1"/>
  <c r="EK2" i="66" s="1"/>
  <c r="EL2" i="66" s="1"/>
  <c r="EM2" i="66" s="1"/>
  <c r="EN2" i="66" s="1"/>
  <c r="EO2" i="66" s="1"/>
  <c r="EP2" i="66" s="1"/>
  <c r="EQ2" i="66" s="1"/>
  <c r="ER2" i="66" s="1"/>
  <c r="ES2" i="66" s="1"/>
  <c r="ET2" i="66" s="1"/>
  <c r="EU2" i="66" s="1"/>
  <c r="EV2" i="66" s="1"/>
  <c r="EW2" i="66" s="1"/>
  <c r="EX2" i="66" s="1"/>
  <c r="EY2" i="66" s="1"/>
  <c r="EZ2" i="66" s="1"/>
  <c r="FA2" i="66" s="1"/>
  <c r="FB2" i="66" s="1"/>
  <c r="FC2" i="66" s="1"/>
  <c r="FD2" i="66" s="1"/>
  <c r="FE2" i="66" s="1"/>
  <c r="FF2" i="66" s="1"/>
  <c r="FG2" i="66" s="1"/>
  <c r="FH2" i="66" s="1"/>
  <c r="FI2" i="66" s="1"/>
  <c r="FJ2" i="66" s="1"/>
  <c r="FK2" i="66" s="1"/>
  <c r="FL2" i="66" s="1"/>
  <c r="FM2" i="66" s="1"/>
  <c r="FN2" i="66" s="1"/>
  <c r="FO2" i="66" s="1"/>
  <c r="FP2" i="66" s="1"/>
  <c r="FQ2" i="66" s="1"/>
  <c r="FR2" i="66" s="1"/>
  <c r="FS2" i="66" s="1"/>
  <c r="FT2" i="66" s="1"/>
  <c r="FU2" i="66" s="1"/>
  <c r="FV2" i="66" s="1"/>
  <c r="FW2" i="66" s="1"/>
  <c r="FX2" i="66" s="1"/>
  <c r="FY2" i="66" s="1"/>
  <c r="FZ2" i="66" s="1"/>
  <c r="GA2" i="66" s="1"/>
  <c r="GB2" i="66" s="1"/>
  <c r="GC2" i="66" s="1"/>
  <c r="GD2" i="66" s="1"/>
  <c r="GE2" i="66" s="1"/>
  <c r="GF2" i="66" s="1"/>
  <c r="GG2" i="66" s="1"/>
  <c r="GH2" i="66" s="1"/>
  <c r="GI2" i="66" s="1"/>
  <c r="GJ2" i="66" s="1"/>
  <c r="GK2" i="66" s="1"/>
  <c r="GL2" i="66" s="1"/>
  <c r="GM2" i="66" s="1"/>
  <c r="GN2" i="66" s="1"/>
  <c r="GO2" i="66" s="1"/>
  <c r="GP2" i="66" s="1"/>
  <c r="GQ2" i="66" s="1"/>
  <c r="GR2" i="66" s="1"/>
  <c r="GS2" i="66" s="1"/>
  <c r="GT2" i="66" s="1"/>
  <c r="GU2" i="66" s="1"/>
  <c r="GV2" i="66" s="1"/>
  <c r="GW2" i="66" s="1"/>
  <c r="GX2" i="66" s="1"/>
  <c r="GY2" i="66" s="1"/>
  <c r="GZ2" i="66" s="1"/>
  <c r="HA2" i="66" s="1"/>
  <c r="HB2" i="66" s="1"/>
  <c r="HC2" i="66" s="1"/>
  <c r="HD2" i="66" s="1"/>
  <c r="HE2" i="66" s="1"/>
  <c r="HF2" i="66" s="1"/>
  <c r="HG2" i="66" s="1"/>
  <c r="HH2" i="66" s="1"/>
  <c r="HI2" i="66" s="1"/>
  <c r="HJ2" i="66" s="1"/>
  <c r="HK2" i="66" s="1"/>
  <c r="HL2" i="66" s="1"/>
  <c r="HM2" i="66" s="1"/>
  <c r="HN2" i="66" s="1"/>
  <c r="HO2" i="66" s="1"/>
  <c r="HP2" i="66" s="1"/>
  <c r="HQ2" i="66" s="1"/>
  <c r="HR2" i="66" s="1"/>
  <c r="HS2" i="66" s="1"/>
  <c r="HT2" i="66" s="1"/>
  <c r="HU2" i="66" s="1"/>
  <c r="HV2" i="66" s="1"/>
  <c r="HW2" i="66" s="1"/>
  <c r="HX2" i="66" s="1"/>
  <c r="HY2" i="66" s="1"/>
  <c r="HZ2" i="66" s="1"/>
  <c r="IA2" i="66" s="1"/>
  <c r="IB2" i="66" s="1"/>
  <c r="IC2" i="66" s="1"/>
  <c r="ID2" i="66" s="1"/>
  <c r="IE2" i="66" s="1"/>
  <c r="IF2" i="66" s="1"/>
  <c r="IG2" i="66" s="1"/>
  <c r="IH2" i="66" s="1"/>
  <c r="II2" i="66" s="1"/>
  <c r="IJ2" i="66" s="1"/>
  <c r="IK2" i="66" s="1"/>
  <c r="IL2" i="66" s="1"/>
  <c r="IM2" i="66" s="1"/>
  <c r="IN2" i="66" s="1"/>
  <c r="IO2" i="66" s="1"/>
  <c r="IP2" i="66" s="1"/>
  <c r="IQ2" i="66" s="1"/>
  <c r="IR2" i="66" s="1"/>
  <c r="IS2" i="66" s="1"/>
  <c r="IT2" i="66" s="1"/>
  <c r="IU2" i="66" s="1"/>
  <c r="IV2" i="66" s="1"/>
  <c r="IW2" i="66" s="1"/>
  <c r="IX2" i="66" s="1"/>
  <c r="IY2" i="66" s="1"/>
  <c r="IZ2" i="66" s="1"/>
  <c r="JA2" i="66" s="1"/>
  <c r="JB2" i="66" s="1"/>
  <c r="JC2" i="66" s="1"/>
  <c r="JD2" i="66" s="1"/>
  <c r="JE2" i="66" s="1"/>
  <c r="JF2" i="66" s="1"/>
  <c r="JG2" i="66" s="1"/>
  <c r="JH2" i="66" s="1"/>
  <c r="JI2" i="66" s="1"/>
  <c r="JJ2" i="66" s="1"/>
  <c r="JK2" i="66" s="1"/>
  <c r="JL2" i="66" s="1"/>
  <c r="JM2" i="66" s="1"/>
  <c r="JN2" i="66" s="1"/>
  <c r="JO2" i="66" s="1"/>
  <c r="JP2" i="66" s="1"/>
  <c r="JQ2" i="66" s="1"/>
  <c r="JR2" i="66" s="1"/>
  <c r="JS2" i="66" s="1"/>
  <c r="JT2" i="66" s="1"/>
  <c r="JU2" i="66" s="1"/>
  <c r="JV2" i="66" s="1"/>
  <c r="JW2" i="66" s="1"/>
  <c r="JX2" i="66" s="1"/>
  <c r="JY2" i="66" s="1"/>
  <c r="JZ2" i="66" s="1"/>
  <c r="KA2" i="66" s="1"/>
  <c r="KB2" i="66" s="1"/>
  <c r="KC2" i="66" s="1"/>
  <c r="KD2" i="66" s="1"/>
  <c r="KE2" i="66" s="1"/>
  <c r="KF2" i="66" s="1"/>
  <c r="KG2" i="66" s="1"/>
  <c r="KH2" i="66" s="1"/>
  <c r="KI2" i="66" s="1"/>
  <c r="KJ2" i="66" s="1"/>
  <c r="KK2" i="66" s="1"/>
  <c r="KL2" i="66" s="1"/>
  <c r="KM2" i="66" s="1"/>
  <c r="KN2" i="66" s="1"/>
  <c r="KO2" i="66" s="1"/>
  <c r="KP2" i="66" s="1"/>
  <c r="KQ2" i="66" s="1"/>
  <c r="KR2" i="66" s="1"/>
  <c r="KS2" i="66" s="1"/>
  <c r="KT2" i="66" s="1"/>
  <c r="KU2" i="66" s="1"/>
  <c r="KV2" i="66" s="1"/>
  <c r="KW2" i="66" s="1"/>
  <c r="KX2" i="66" s="1"/>
  <c r="KY2" i="66" s="1"/>
  <c r="KZ2" i="66" s="1"/>
  <c r="LA2" i="66" s="1"/>
  <c r="LB2" i="66" s="1"/>
  <c r="LC2" i="66" s="1"/>
  <c r="LD2" i="66" s="1"/>
  <c r="LE2" i="66" s="1"/>
  <c r="LF2" i="66" s="1"/>
  <c r="LG2" i="66" s="1"/>
  <c r="LH2" i="66" s="1"/>
  <c r="LI2" i="66" s="1"/>
  <c r="LJ2" i="66" s="1"/>
  <c r="LK2" i="66" s="1"/>
  <c r="LL2" i="66" s="1"/>
  <c r="LM2" i="66" s="1"/>
  <c r="LN2" i="66" s="1"/>
  <c r="LO2" i="66" s="1"/>
  <c r="LP2" i="66" s="1"/>
  <c r="LQ2" i="66" s="1"/>
  <c r="LR2" i="66" s="1"/>
  <c r="LS2" i="66" s="1"/>
  <c r="LT2" i="66" s="1"/>
  <c r="LU2" i="66" s="1"/>
  <c r="LV2" i="66" s="1"/>
  <c r="LW2" i="66" s="1"/>
  <c r="LX2" i="66" s="1"/>
  <c r="LY2" i="66" s="1"/>
  <c r="LZ2" i="66" s="1"/>
  <c r="MA2" i="66" s="1"/>
  <c r="MB2" i="66" s="1"/>
  <c r="MC2" i="66" s="1"/>
  <c r="MD2" i="66" s="1"/>
  <c r="ME2" i="66" s="1"/>
  <c r="MF2" i="66" s="1"/>
  <c r="MG2" i="66" s="1"/>
  <c r="MH2" i="66" s="1"/>
  <c r="MI2" i="66" s="1"/>
  <c r="MJ2" i="66" s="1"/>
  <c r="MK2" i="66" s="1"/>
  <c r="ML2" i="66" s="1"/>
  <c r="MM2" i="66" s="1"/>
  <c r="MN2" i="66" s="1"/>
  <c r="MO2" i="66" s="1"/>
  <c r="MP2" i="66" s="1"/>
  <c r="MQ2" i="66" s="1"/>
  <c r="MR2" i="66" s="1"/>
  <c r="MS2" i="66" s="1"/>
  <c r="MT2" i="66" s="1"/>
  <c r="MU2" i="66" s="1"/>
  <c r="MV2" i="66" s="1"/>
  <c r="MW2" i="66" s="1"/>
  <c r="MX2" i="66" s="1"/>
  <c r="MY2" i="66" s="1"/>
  <c r="MZ2" i="66" s="1"/>
  <c r="NA2" i="66" s="1"/>
  <c r="NB2" i="66" s="1"/>
  <c r="NC2" i="66" s="1"/>
  <c r="ND2" i="66" s="1"/>
  <c r="NE2" i="66" s="1"/>
  <c r="NF2" i="66" s="1"/>
  <c r="NG2" i="66" s="1"/>
  <c r="NH2" i="66" s="1"/>
  <c r="NI2" i="66" s="1"/>
  <c r="NJ2" i="66" s="1"/>
  <c r="NK2" i="66" s="1"/>
  <c r="NL2" i="66" s="1"/>
  <c r="NM2" i="66" s="1"/>
  <c r="NN2" i="66" s="1"/>
  <c r="NO2" i="66" s="1"/>
  <c r="NP2" i="66" s="1"/>
  <c r="NQ2" i="66" s="1"/>
  <c r="NR2" i="66" s="1"/>
  <c r="NS2" i="66" s="1"/>
  <c r="NT2" i="66" s="1"/>
  <c r="NU2" i="66" s="1"/>
  <c r="NV2" i="66" s="1"/>
  <c r="NW2" i="66" s="1"/>
  <c r="NX2" i="66" s="1"/>
  <c r="NY2" i="66" s="1"/>
  <c r="NZ2" i="66" s="1"/>
  <c r="OA2" i="66" s="1"/>
  <c r="OB2" i="66" s="1"/>
  <c r="OC2" i="66" s="1"/>
  <c r="OD2" i="66" s="1"/>
  <c r="OE2" i="66" s="1"/>
  <c r="OF2" i="66" s="1"/>
  <c r="OG2" i="66" s="1"/>
  <c r="OH2" i="66" s="1"/>
  <c r="L47" i="66"/>
  <c r="P90" i="66"/>
  <c r="B42" i="66"/>
  <c r="B43" i="66" s="1"/>
  <c r="B44" i="66" s="1"/>
  <c r="B45" i="66" s="1"/>
  <c r="B46" i="66" s="1"/>
  <c r="B47" i="66" s="1"/>
  <c r="B48" i="66" s="1"/>
  <c r="B49" i="66" s="1"/>
  <c r="B50" i="66" s="1"/>
  <c r="B51" i="66" s="1"/>
  <c r="B52" i="66" s="1"/>
  <c r="B53" i="66" s="1"/>
  <c r="B54" i="66" s="1"/>
  <c r="B55" i="66" s="1"/>
  <c r="B56" i="66" s="1"/>
  <c r="B57" i="66" s="1"/>
  <c r="B58" i="66" s="1"/>
  <c r="B59" i="66" s="1"/>
  <c r="B60" i="66" s="1"/>
  <c r="B61" i="66" s="1"/>
  <c r="B62" i="66" s="1"/>
  <c r="B63" i="66" s="1"/>
  <c r="B64" i="66" s="1"/>
  <c r="B65" i="66" s="1"/>
  <c r="B66" i="66" s="1"/>
  <c r="B67" i="66" s="1"/>
  <c r="B68" i="66" s="1"/>
  <c r="B69" i="66" s="1"/>
  <c r="B70" i="66" s="1"/>
  <c r="B71" i="66" s="1"/>
  <c r="B72" i="66" s="1"/>
  <c r="B73" i="66" s="1"/>
  <c r="B74" i="66" s="1"/>
  <c r="B75" i="66" s="1"/>
  <c r="B76" i="66" s="1"/>
  <c r="B77" i="66" s="1"/>
  <c r="B78" i="66" s="1"/>
  <c r="B79" i="66" s="1"/>
  <c r="B80" i="66" s="1"/>
  <c r="B81" i="66" s="1"/>
  <c r="B82" i="66" s="1"/>
  <c r="B83" i="66" s="1"/>
  <c r="B84" i="66" s="1"/>
  <c r="B85" i="66" s="1"/>
  <c r="B86" i="66" s="1"/>
  <c r="B87" i="66" s="1"/>
  <c r="B88" i="66" s="1"/>
  <c r="B89" i="66" s="1"/>
  <c r="B90" i="66" s="1"/>
  <c r="B91" i="66" s="1"/>
  <c r="B92" i="66" s="1"/>
  <c r="B93" i="66" s="1"/>
  <c r="B94" i="66" s="1"/>
  <c r="B95" i="66" s="1"/>
  <c r="B96" i="66" s="1"/>
  <c r="B97" i="66" s="1"/>
  <c r="B98" i="66" s="1"/>
  <c r="B99" i="66" s="1"/>
  <c r="B100" i="66" s="1"/>
  <c r="B101" i="66" s="1"/>
  <c r="B102" i="66" s="1"/>
  <c r="B103" i="66" s="1"/>
  <c r="B104" i="66" s="1"/>
  <c r="B105" i="66" s="1"/>
  <c r="B106" i="66" s="1"/>
  <c r="B107" i="66" s="1"/>
  <c r="B108" i="66" s="1"/>
  <c r="B109" i="66" s="1"/>
  <c r="B110" i="66" s="1"/>
  <c r="B111" i="66" s="1"/>
  <c r="B112" i="66" s="1"/>
  <c r="B113" i="66" s="1"/>
  <c r="B114" i="66" s="1"/>
  <c r="P114" i="66"/>
  <c r="O54" i="66"/>
  <c r="P43" i="66"/>
  <c r="I62" i="66"/>
  <c r="I66" i="66" s="1"/>
  <c r="M86" i="66"/>
  <c r="M90" i="66" s="1"/>
  <c r="O109" i="66"/>
  <c r="O35" i="66"/>
  <c r="O43" i="66" s="1"/>
  <c r="O47" i="66" s="1"/>
  <c r="N86" i="66"/>
  <c r="N90" i="66" s="1"/>
  <c r="K62" i="66"/>
  <c r="K66" i="66" s="1"/>
  <c r="Q86" i="66"/>
  <c r="Q90" i="66" s="1"/>
  <c r="O78" i="66"/>
  <c r="I110" i="66"/>
  <c r="I114" i="66" s="1"/>
  <c r="J43" i="66"/>
  <c r="J47" i="66" s="1"/>
  <c r="O102" i="66"/>
  <c r="I43" i="66"/>
  <c r="I47" i="66" s="1"/>
  <c r="Q62" i="66"/>
  <c r="Q66" i="66" s="1"/>
  <c r="I86" i="66"/>
  <c r="I90" i="66" s="1"/>
  <c r="K110" i="66"/>
  <c r="K114" i="66" s="1"/>
  <c r="O61" i="66"/>
  <c r="O62" i="66" s="1"/>
  <c r="O66" i="66" s="1"/>
  <c r="O86" i="66"/>
  <c r="O90" i="66" s="1"/>
  <c r="M110" i="66"/>
  <c r="M114" i="66" s="1"/>
  <c r="Q43" i="66"/>
  <c r="Q47" i="66" s="1"/>
  <c r="O110" i="66"/>
  <c r="O114" i="66" s="1"/>
  <c r="P47" i="66" l="1"/>
  <c r="D81" i="21" l="1"/>
  <c r="C62" i="21" l="1"/>
  <c r="D62" i="21" l="1"/>
  <c r="C97" i="21" l="1"/>
  <c r="D97" i="21"/>
  <c r="C81" i="21"/>
  <c r="D78" i="21"/>
  <c r="R77" i="21"/>
  <c r="Q77" i="21"/>
  <c r="P77" i="21"/>
  <c r="R72" i="21"/>
  <c r="Q72" i="21"/>
  <c r="R59" i="21"/>
  <c r="Q59" i="21"/>
  <c r="P59" i="21"/>
  <c r="D23" i="21"/>
  <c r="D22" i="21"/>
  <c r="D21" i="21"/>
  <c r="D20" i="21"/>
  <c r="D19" i="21"/>
  <c r="D18" i="21"/>
  <c r="D17" i="21"/>
  <c r="D16" i="21"/>
  <c r="D15" i="21"/>
  <c r="D14" i="21"/>
  <c r="C11" i="21"/>
  <c r="H9" i="21" s="1"/>
  <c r="P171" i="21" l="1"/>
  <c r="R171" i="21"/>
  <c r="Q171" i="21"/>
  <c r="P172" i="21"/>
  <c r="Q172" i="21"/>
  <c r="R172" i="21"/>
</calcChain>
</file>

<file path=xl/sharedStrings.xml><?xml version="1.0" encoding="utf-8"?>
<sst xmlns="http://schemas.openxmlformats.org/spreadsheetml/2006/main" count="6243" uniqueCount="962">
  <si>
    <t>25Version3</t>
  </si>
  <si>
    <t>Version:</t>
  </si>
  <si>
    <t>Reference date:</t>
  </si>
  <si>
    <t>Templates</t>
  </si>
  <si>
    <t>Template set</t>
  </si>
  <si>
    <t>Topic</t>
  </si>
  <si>
    <t>Template name</t>
  </si>
  <si>
    <t>Description</t>
  </si>
  <si>
    <t>CSV</t>
  </si>
  <si>
    <t>N/A</t>
  </si>
  <si>
    <t>Input</t>
  </si>
  <si>
    <t>Credit risk</t>
  </si>
  <si>
    <t>CSV_CR_SUM</t>
  </si>
  <si>
    <t>Credit risk - Summary</t>
  </si>
  <si>
    <t>CSV_CR_SCEN</t>
  </si>
  <si>
    <t>Credit risk - Scenarios (projection for credit risk losses from on-balance sheet)</t>
  </si>
  <si>
    <t>CSV_CR_SCEN_OFF_BS</t>
  </si>
  <si>
    <t>Credit risk - Scenarios (projection for credit risk losses from off-balance sheet)</t>
  </si>
  <si>
    <t>CSV_CR_SECTOR</t>
  </si>
  <si>
    <t>Credit risk - Exposures by sector of economic activity (non-climate risk related)</t>
  </si>
  <si>
    <t>CSV_CR_NPL</t>
  </si>
  <si>
    <t>Credit risk - NPL calendar</t>
  </si>
  <si>
    <t>CSV_CR_SEC_SUM</t>
  </si>
  <si>
    <t>Credit risk - Securitisations - Summary</t>
  </si>
  <si>
    <t>CSV_CR_SEC</t>
  </si>
  <si>
    <t>Credit risk - Securitisations</t>
  </si>
  <si>
    <t>CSV_CR_REA_STA_DET</t>
  </si>
  <si>
    <t>Credit risk - REA - STA approach - Details</t>
  </si>
  <si>
    <t>CSV_CR_REA_IRB_DET</t>
  </si>
  <si>
    <t>Credit risk - REA - IRB approach - Details</t>
  </si>
  <si>
    <t>CSV_CR_REA_OF</t>
  </si>
  <si>
    <t>Credit risk - REA Output Floor</t>
  </si>
  <si>
    <t>CSV_CR_REA_STA</t>
  </si>
  <si>
    <t>Credit risk - REA - STA approach floor</t>
  </si>
  <si>
    <t>CSV_CR_REA_IRB</t>
  </si>
  <si>
    <t>Credit risk - REA - IRB approach floor</t>
  </si>
  <si>
    <t>Market risk, CCR losses and Valuation reserves</t>
  </si>
  <si>
    <t>CSV_MR_SUM</t>
  </si>
  <si>
    <t>Market risk - Summary</t>
  </si>
  <si>
    <t>CSV_MR_FULL_REVAL</t>
  </si>
  <si>
    <t>Market risk - Full revaluation template</t>
  </si>
  <si>
    <t>CSV_MR_FULL_REVAL_HFT</t>
  </si>
  <si>
    <t>Market risk - Full revaluation HFT template</t>
  </si>
  <si>
    <t>CSV_MR_RES_CVA_FVA</t>
  </si>
  <si>
    <t>Market risk - Revaluation of reserves CVA and FuVA</t>
  </si>
  <si>
    <t>CSV_MR_RES_UNCERTAINTY</t>
  </si>
  <si>
    <t>Market risk - Revaluation of reserves uncertainty</t>
  </si>
  <si>
    <t>CSV_MR_PROJ</t>
  </si>
  <si>
    <t>Market risk - Projection of client revenues of items held with a trading intent and their related hedges</t>
  </si>
  <si>
    <t>CSV_MR_CCR</t>
  </si>
  <si>
    <t>Market risk - Counterparty defaults</t>
  </si>
  <si>
    <t>CSV_MR_REA</t>
  </si>
  <si>
    <t>Market risk - REA</t>
  </si>
  <si>
    <t>NII</t>
  </si>
  <si>
    <t>CSV_NII_SUM</t>
  </si>
  <si>
    <t>NII - Summary</t>
  </si>
  <si>
    <t>CSV_NII_CALC</t>
  </si>
  <si>
    <t>NII - Calculation</t>
  </si>
  <si>
    <t>CSV_NII_CALC_FUNDING MATCH</t>
  </si>
  <si>
    <t>NII - Reporting of asset liability matches</t>
  </si>
  <si>
    <t>Conduct risk and other operational risks</t>
  </si>
  <si>
    <t>CSV_OR_GEN</t>
  </si>
  <si>
    <t>Operational risk - Conduct and other operational risk losses</t>
  </si>
  <si>
    <t>CSV_OR_CON</t>
  </si>
  <si>
    <t>Operational risk - Material conduct risk losses</t>
  </si>
  <si>
    <t>Non-interest income, expenses and capital</t>
  </si>
  <si>
    <t>CSV_REA_SUM</t>
  </si>
  <si>
    <t>NIEC - REA - Summary</t>
  </si>
  <si>
    <t>CSV_NFCI_DIV</t>
  </si>
  <si>
    <t>NIEC - Evolution of net fee and commissions income, dividend income</t>
  </si>
  <si>
    <t>CSV_ADM_EXP</t>
  </si>
  <si>
    <t>NIEC - Administrative expenses</t>
  </si>
  <si>
    <t>CSV_ONEOFF</t>
  </si>
  <si>
    <t>NIEC - Adjustments for non-recurring events (one-offs)</t>
  </si>
  <si>
    <t>CSV_MDA</t>
  </si>
  <si>
    <t>NIEC - Calculation of potential distribution restriction following breach of the risk-based MDA and/or LR MDA trigger levels</t>
  </si>
  <si>
    <t>CSV_P&amp;L</t>
  </si>
  <si>
    <t>NIEC - Evolution of P&amp;L</t>
  </si>
  <si>
    <t>CSV_CAP</t>
  </si>
  <si>
    <t>NIEC - Capital</t>
  </si>
  <si>
    <t>CSV_CAPMEAS</t>
  </si>
  <si>
    <t>NIEC - Major capital measures and material losses</t>
  </si>
  <si>
    <t>Climate Risk</t>
  </si>
  <si>
    <t>CSV_CL_SUM</t>
  </si>
  <si>
    <t>Climate risk - Summary</t>
  </si>
  <si>
    <t>CSV_CL_TR</t>
  </si>
  <si>
    <t>Climate risk - Transition risk</t>
  </si>
  <si>
    <t>CSV_CL_PR</t>
  </si>
  <si>
    <t>Climate risk - Physical risk</t>
  </si>
  <si>
    <t>TRA</t>
  </si>
  <si>
    <t>TRA_SUM</t>
  </si>
  <si>
    <t>Summary adverse and baseline scenario (stress test results)</t>
  </si>
  <si>
    <t>TRA_CR</t>
  </si>
  <si>
    <t>Credit risk - Loss projection</t>
  </si>
  <si>
    <t>TRA_CR_SEC</t>
  </si>
  <si>
    <t>TRA_CR_REA</t>
  </si>
  <si>
    <t>Credit risk REA</t>
  </si>
  <si>
    <t>TRA_REA</t>
  </si>
  <si>
    <t>REA (projection)</t>
  </si>
  <si>
    <t>TRA_P&amp;L</t>
  </si>
  <si>
    <t>P&amp;L (projection)</t>
  </si>
  <si>
    <t>TRA_CAP</t>
  </si>
  <si>
    <t>Capital (projection)</t>
  </si>
  <si>
    <t>TRA_CAPMEAS</t>
  </si>
  <si>
    <t>Major capital measures and material losses</t>
  </si>
  <si>
    <t>EBAv0</t>
  </si>
  <si>
    <t>Template structure</t>
  </si>
  <si>
    <r>
      <rPr>
        <u/>
        <sz val="10"/>
        <color theme="1"/>
        <rFont val="Calibri"/>
        <family val="2"/>
        <scheme val="minor"/>
      </rPr>
      <t>Calculation support and validation data templates (CSV)</t>
    </r>
    <r>
      <rPr>
        <sz val="10"/>
        <color theme="1"/>
        <rFont val="Calibri"/>
        <family val="2"/>
        <scheme val="minor"/>
      </rPr>
      <t>: Data to be filled by participating banks including the results of the stress test and other information required for the analysis by the competent authorities as input to their quality assurance process</t>
    </r>
  </si>
  <si>
    <r>
      <rPr>
        <u/>
        <sz val="10"/>
        <color theme="1"/>
        <rFont val="Calibri"/>
        <family val="2"/>
        <scheme val="minor"/>
      </rPr>
      <t>Transparency templates (TRA)</t>
    </r>
    <r>
      <rPr>
        <sz val="10"/>
        <color theme="1"/>
        <rFont val="Calibri"/>
        <family val="2"/>
        <scheme val="minor"/>
      </rPr>
      <t>: Data on stress test outcomes to be disclosed on a bank-by-bank basis</t>
    </r>
  </si>
  <si>
    <t>Cell categories</t>
  </si>
  <si>
    <t>Input cell to be filled by participating banks</t>
  </si>
  <si>
    <t>Calculation cell within a sheet</t>
  </si>
  <si>
    <t>Links between sheets</t>
  </si>
  <si>
    <t>Centralized calculations</t>
  </si>
  <si>
    <t>Prefilled parameters</t>
  </si>
  <si>
    <t>Not to be filled in</t>
  </si>
  <si>
    <t>Row header or column header</t>
  </si>
  <si>
    <t>Additional identifiers to be used for the data extraction - cells hidden apart from row and column numbers</t>
  </si>
  <si>
    <t>General input tables</t>
  </si>
  <si>
    <t>Lookup tables</t>
  </si>
  <si>
    <t>(to be filled by all banks)</t>
  </si>
  <si>
    <t>(not to be filled in)</t>
  </si>
  <si>
    <t>Country of bank selected</t>
  </si>
  <si>
    <t>Exchange rate variation against the EUR (in %)</t>
  </si>
  <si>
    <t>Bank name</t>
  </si>
  <si>
    <t>Please select the bank</t>
  </si>
  <si>
    <t>Sample of banks</t>
  </si>
  <si>
    <t>LEI</t>
  </si>
  <si>
    <t>Country</t>
  </si>
  <si>
    <t>List of countries</t>
  </si>
  <si>
    <t>List of currencies</t>
  </si>
  <si>
    <t>LEI Code</t>
  </si>
  <si>
    <t xml:space="preserve"> </t>
  </si>
  <si>
    <t>AUSTRIA</t>
  </si>
  <si>
    <t>AED</t>
  </si>
  <si>
    <t>ABN AMRO Bank N.V.</t>
  </si>
  <si>
    <t>BFXS5XCH7N0Y05NIXW11</t>
  </si>
  <si>
    <t>NL</t>
  </si>
  <si>
    <t>BELGIUM</t>
  </si>
  <si>
    <t>AFN</t>
  </si>
  <si>
    <t>Credit Risk</t>
  </si>
  <si>
    <t>Countries</t>
  </si>
  <si>
    <t>Countries included in Credit Risk but not in NII</t>
  </si>
  <si>
    <t>AIB Group plc</t>
  </si>
  <si>
    <t>635400AKJBGNS5WNQL34</t>
  </si>
  <si>
    <t>IE</t>
  </si>
  <si>
    <t>BULGARIA</t>
  </si>
  <si>
    <t>ALL</t>
  </si>
  <si>
    <t>Country #1</t>
  </si>
  <si>
    <t>ALPHA SERVICES &amp; HOLDINGS S.A.</t>
  </si>
  <si>
    <t>5299009N55YRQC69CN08</t>
  </si>
  <si>
    <t>GR</t>
  </si>
  <si>
    <t>CROATIA</t>
  </si>
  <si>
    <t>AMD</t>
  </si>
  <si>
    <t>Country #2</t>
  </si>
  <si>
    <t xml:space="preserve">BANCA MONTE DEI PASCHI DI SIENA S.p.A.        </t>
  </si>
  <si>
    <t>J4CP7MHCXR8DAQMKIL78</t>
  </si>
  <si>
    <t>IT</t>
  </si>
  <si>
    <t>CYPRUS</t>
  </si>
  <si>
    <t>ANG</t>
  </si>
  <si>
    <t>Country #3</t>
  </si>
  <si>
    <t>Banca Transilvania</t>
  </si>
  <si>
    <t>549300RG3H390KEL8896</t>
  </si>
  <si>
    <t>RO</t>
  </si>
  <si>
    <t>CZECH REPUBLIC</t>
  </si>
  <si>
    <t>AOA</t>
  </si>
  <si>
    <t>Country #4</t>
  </si>
  <si>
    <t>Banco Bilbao Vizcaya Argentaria, S.A.</t>
  </si>
  <si>
    <t>K8MS7FD7N5Z2WQ51AZ71</t>
  </si>
  <si>
    <t>ES</t>
  </si>
  <si>
    <t>DENMARK</t>
  </si>
  <si>
    <t>ARS</t>
  </si>
  <si>
    <t>Country #5</t>
  </si>
  <si>
    <t>Banco BPM S.p.A.</t>
  </si>
  <si>
    <t>815600E4E6DCD2D25E30</t>
  </si>
  <si>
    <t>ESTONIA</t>
  </si>
  <si>
    <t>AUD</t>
  </si>
  <si>
    <t>Country #6</t>
  </si>
  <si>
    <t>Banco Comercial Português, SA</t>
  </si>
  <si>
    <t>JU1U6S0DG9YLT7N8ZV32</t>
  </si>
  <si>
    <t>PT</t>
  </si>
  <si>
    <t>FINLAND</t>
  </si>
  <si>
    <t>AWG</t>
  </si>
  <si>
    <t>Country #7</t>
  </si>
  <si>
    <t>Banco de Sabadell, S.A.</t>
  </si>
  <si>
    <t>SI5RG2M0WQQLZCXKRM20</t>
  </si>
  <si>
    <t>FRANCE</t>
  </si>
  <si>
    <t>AZN</t>
  </si>
  <si>
    <t>Country #8</t>
  </si>
  <si>
    <t>Banco Santander, S.A.</t>
  </si>
  <si>
    <t>5493006QMFDDMYWIAM13</t>
  </si>
  <si>
    <t>GERMANY</t>
  </si>
  <si>
    <t>BAM</t>
  </si>
  <si>
    <t>Country #9</t>
  </si>
  <si>
    <t>GREECE</t>
  </si>
  <si>
    <t>BBD</t>
  </si>
  <si>
    <t>Country #10</t>
  </si>
  <si>
    <t>Bank of Ireland Group plc</t>
  </si>
  <si>
    <t>635400C8EK6DRI12LJ39</t>
  </si>
  <si>
    <t>HUNGARY</t>
  </si>
  <si>
    <t>BDT</t>
  </si>
  <si>
    <t>Number of countries for CR REA</t>
  </si>
  <si>
    <t>Other</t>
  </si>
  <si>
    <t>Bank Polska Kasa Opieki S.A.</t>
  </si>
  <si>
    <t>5493000LKS7B3UTF7H35</t>
  </si>
  <si>
    <t>PL</t>
  </si>
  <si>
    <t>IRELAND</t>
  </si>
  <si>
    <t>BGN</t>
  </si>
  <si>
    <t>Bankinter, S.A.</t>
  </si>
  <si>
    <t>VWMYAEQSTOPNV0SUGU82</t>
  </si>
  <si>
    <t>ITALY</t>
  </si>
  <si>
    <t>BHD</t>
  </si>
  <si>
    <t>Climate - Physical Risk</t>
  </si>
  <si>
    <t>Countries (EEA)</t>
  </si>
  <si>
    <t>2G5BKIC2CB69PRJH1W31</t>
  </si>
  <si>
    <t>LATVIA</t>
  </si>
  <si>
    <t>BIF</t>
  </si>
  <si>
    <t>Bayerische Landesbank</t>
  </si>
  <si>
    <t>VDYMYTQGZZ6DU0912C88</t>
  </si>
  <si>
    <t>DE</t>
  </si>
  <si>
    <t>LITHUANIA</t>
  </si>
  <si>
    <t>BMD</t>
  </si>
  <si>
    <t>Belfius Banque SA</t>
  </si>
  <si>
    <t>A5GWLFH3KM7YV2SFQL84</t>
  </si>
  <si>
    <t>BE</t>
  </si>
  <si>
    <t>LUXEMBOURG</t>
  </si>
  <si>
    <t>BND</t>
  </si>
  <si>
    <t>R0MUWSFPU8MPRO8K5P83</t>
  </si>
  <si>
    <t>FR</t>
  </si>
  <si>
    <t>MALTA</t>
  </si>
  <si>
    <t>BOB</t>
  </si>
  <si>
    <t>NETHERLANDS</t>
  </si>
  <si>
    <t>BRL</t>
  </si>
  <si>
    <t>N747OI7JINV7RUUH6190</t>
  </si>
  <si>
    <t>POLAND</t>
  </si>
  <si>
    <t>BSD</t>
  </si>
  <si>
    <t>TO822O0VT80V06K0FH57</t>
  </si>
  <si>
    <t>PORTUGAL</t>
  </si>
  <si>
    <t>BTN</t>
  </si>
  <si>
    <t>7CUNS533WID6K7DGFI87</t>
  </si>
  <si>
    <t>ROMANIA</t>
  </si>
  <si>
    <t>BWP</t>
  </si>
  <si>
    <t>Citibank Europe plc</t>
  </si>
  <si>
    <t>N1FBEDJ5J41VKZLO2475</t>
  </si>
  <si>
    <t>SLOVAKIA</t>
  </si>
  <si>
    <t>BYN</t>
  </si>
  <si>
    <t>SLOVENIA</t>
  </si>
  <si>
    <t>BZD</t>
  </si>
  <si>
    <t>COMMERZBANK Aktiengesellschaft</t>
  </si>
  <si>
    <t>851WYGNLUQLFZBSYGB56</t>
  </si>
  <si>
    <t>SPAIN</t>
  </si>
  <si>
    <t>CAD</t>
  </si>
  <si>
    <t>Confédération Nationale du Crédit Mutuel</t>
  </si>
  <si>
    <t>9695000CG7B84NLR5984</t>
  </si>
  <si>
    <t>SWEDEN</t>
  </si>
  <si>
    <t>CDF</t>
  </si>
  <si>
    <t>Currency</t>
  </si>
  <si>
    <t>Coöperatieve Rabobank U.A.</t>
  </si>
  <si>
    <t>DG3RU1DBUFHT4ZF9WN62</t>
  </si>
  <si>
    <t>ICELAND</t>
  </si>
  <si>
    <t>CHF</t>
  </si>
  <si>
    <t>Country/Currency #1</t>
  </si>
  <si>
    <t>Danske Bank A/S</t>
  </si>
  <si>
    <t>MAES062Z21O4RZ2U7M96</t>
  </si>
  <si>
    <t>DK</t>
  </si>
  <si>
    <t>LIECHTENSTEIN</t>
  </si>
  <si>
    <t>CLP</t>
  </si>
  <si>
    <t>Country/Currency #2</t>
  </si>
  <si>
    <t>Deutsche Bank AG</t>
  </si>
  <si>
    <t>7LTWFZYICNSX8D621K86</t>
  </si>
  <si>
    <t>NORWAY</t>
  </si>
  <si>
    <t>CNY</t>
  </si>
  <si>
    <t>Country/Currency #3</t>
  </si>
  <si>
    <t>DNB BANK ASA</t>
  </si>
  <si>
    <t>549300GKFG0RYRRQ1414</t>
  </si>
  <si>
    <t>NO</t>
  </si>
  <si>
    <t>ALBANIA</t>
  </si>
  <si>
    <t>COP</t>
  </si>
  <si>
    <t>Country/Currency #4</t>
  </si>
  <si>
    <t>DZ Bank AG Deutsche Zentral-Genossenschaftsbank</t>
  </si>
  <si>
    <t>529900HNOAA1KXQJUQ27</t>
  </si>
  <si>
    <t>AFGHANISTAN</t>
  </si>
  <si>
    <t>CRC</t>
  </si>
  <si>
    <t>Country/Currency #5</t>
  </si>
  <si>
    <t>Erste Group Bank AG</t>
  </si>
  <si>
    <t>PQOH26KWDF7CG10L6792</t>
  </si>
  <si>
    <t>AT</t>
  </si>
  <si>
    <t>ÅLAND ISLANDS</t>
  </si>
  <si>
    <t>CUC</t>
  </si>
  <si>
    <t>Country/Currency #6</t>
  </si>
  <si>
    <t>Goldman Sachs Bank Europe SE</t>
  </si>
  <si>
    <t>8IBZUGJ7JPLH368JE346</t>
  </si>
  <si>
    <t>ALGERIA</t>
  </si>
  <si>
    <t>CUP</t>
  </si>
  <si>
    <t>Country/Currency #7</t>
  </si>
  <si>
    <t>Groupe BPCE</t>
  </si>
  <si>
    <t>FR9695005MSX1OYEMGDF</t>
  </si>
  <si>
    <t>AMERICAN SAMOA</t>
  </si>
  <si>
    <t>CVE</t>
  </si>
  <si>
    <t>Country/Currency #8</t>
  </si>
  <si>
    <t>Groupe Crédit Agricole</t>
  </si>
  <si>
    <t>FR969500TJ5KRTCJQWXH</t>
  </si>
  <si>
    <t>ANDORRA</t>
  </si>
  <si>
    <t>CZK</t>
  </si>
  <si>
    <t>Country/Currency #9</t>
  </si>
  <si>
    <t>HSBC Continental Europe</t>
  </si>
  <si>
    <t>F0HUI1NY1AZMJMD8LP67</t>
  </si>
  <si>
    <t>ANGOLA</t>
  </si>
  <si>
    <t>DJF</t>
  </si>
  <si>
    <t>Country/Currency #10</t>
  </si>
  <si>
    <t>ICCREA Banca S.p.A. – Istituto Centrale del Credito Cooperativo</t>
  </si>
  <si>
    <t>NNVPP80YIZGEY2314M97</t>
  </si>
  <si>
    <t>ANGUILLA</t>
  </si>
  <si>
    <t>DKK</t>
  </si>
  <si>
    <t>Country/Currency #11</t>
  </si>
  <si>
    <t>ING Groep N.V.</t>
  </si>
  <si>
    <t>549300NYKK9MWM7GGW15</t>
  </si>
  <si>
    <t>ANTARCTICA</t>
  </si>
  <si>
    <t>DOP</t>
  </si>
  <si>
    <t>Country/Currency #12</t>
  </si>
  <si>
    <t>Intesa Sanpaolo S.p.A.</t>
  </si>
  <si>
    <t>2W8N8UU78PMDQKZENC08</t>
  </si>
  <si>
    <t>ANTIGUA AND BARBUDA</t>
  </si>
  <si>
    <t>DZD</t>
  </si>
  <si>
    <t>Country/Currency #13</t>
  </si>
  <si>
    <t>549300ZK53CNGEEI6A29</t>
  </si>
  <si>
    <t>ARGENTINA</t>
  </si>
  <si>
    <t>EGP</t>
  </si>
  <si>
    <t>Country/Currency #14</t>
  </si>
  <si>
    <t>Jyske Bank A/S</t>
  </si>
  <si>
    <t>3M5E1GQGKL17HI6CPN30</t>
  </si>
  <si>
    <t>ARMENIA</t>
  </si>
  <si>
    <t>ERN</t>
  </si>
  <si>
    <t>Country/Currency #15</t>
  </si>
  <si>
    <t>KBC Group NV</t>
  </si>
  <si>
    <t>213800X3Q9LSAKRUWY91</t>
  </si>
  <si>
    <t>ARUBA</t>
  </si>
  <si>
    <t>ETB</t>
  </si>
  <si>
    <t>Country/Currency #16</t>
  </si>
  <si>
    <t>La Banque Postale</t>
  </si>
  <si>
    <t>96950066U5XAAIRCPA78</t>
  </si>
  <si>
    <t>AUSTRALIA</t>
  </si>
  <si>
    <t>EUR</t>
  </si>
  <si>
    <t>Country/Currency #17</t>
  </si>
  <si>
    <t>Landesbank Baden-Württemberg</t>
  </si>
  <si>
    <t>B81CK4ESI35472RHJ606</t>
  </si>
  <si>
    <t>AZERBAIJAN</t>
  </si>
  <si>
    <t>FJD</t>
  </si>
  <si>
    <t>Country/Currency #18</t>
  </si>
  <si>
    <t>Landesbank Hessen-Thüringen Girozentrale</t>
  </si>
  <si>
    <t>DIZES5CFO5K3I5R58746</t>
  </si>
  <si>
    <t>BAHAMAS</t>
  </si>
  <si>
    <t>FKP</t>
  </si>
  <si>
    <t>Country/Currency #19</t>
  </si>
  <si>
    <t>Länsförsäkringar Bank AB (publ)</t>
  </si>
  <si>
    <t>549300C6TUMDXNOVXS82</t>
  </si>
  <si>
    <t>SE</t>
  </si>
  <si>
    <t>BAHRAIN</t>
  </si>
  <si>
    <t>GBP</t>
  </si>
  <si>
    <t>Country/Currency #20</t>
  </si>
  <si>
    <t>BANGLADESH</t>
  </si>
  <si>
    <t>GEL</t>
  </si>
  <si>
    <t>National Bank of Greece S.A.</t>
  </si>
  <si>
    <t>5UMCZOEYKCVFAW8ZLO05</t>
  </si>
  <si>
    <t>BARBADOS</t>
  </si>
  <si>
    <t>GGP</t>
  </si>
  <si>
    <t>Difference between supervisory and pro-forma figure (in mln EUR)</t>
  </si>
  <si>
    <t>Norddeutsche Landesbank -Girozentrale-</t>
  </si>
  <si>
    <t>DSNHHQ2B9X5N6OUJ1236</t>
  </si>
  <si>
    <t>BELARUS</t>
  </si>
  <si>
    <t>GHS</t>
  </si>
  <si>
    <t>Nordea Bank Abp</t>
  </si>
  <si>
    <t>529900ODI3047E2LIV03</t>
  </si>
  <si>
    <t>FI</t>
  </si>
  <si>
    <t>BELIZE</t>
  </si>
  <si>
    <t>GIP</t>
  </si>
  <si>
    <t>Nykredit Realkredit A/S</t>
  </si>
  <si>
    <t>LIU16F6VZJSD6UKHD557</t>
  </si>
  <si>
    <t>BENIN</t>
  </si>
  <si>
    <t>GMD</t>
  </si>
  <si>
    <t>Currency #1</t>
  </si>
  <si>
    <t>OP Osuuskunta</t>
  </si>
  <si>
    <t>7437003B5WFBOIEFY714</t>
  </si>
  <si>
    <t>BERMUDA</t>
  </si>
  <si>
    <t>GTQ</t>
  </si>
  <si>
    <t>Currency #2</t>
  </si>
  <si>
    <t>OTP Bank Nyrt.</t>
  </si>
  <si>
    <t>529900W3MOO00A18X956</t>
  </si>
  <si>
    <t>HU</t>
  </si>
  <si>
    <t>BHUTAN</t>
  </si>
  <si>
    <t>GYD</t>
  </si>
  <si>
    <t>Currency #3</t>
  </si>
  <si>
    <t>PIRAEUS FINANCIAL HOLDINGS S.A.</t>
  </si>
  <si>
    <t>M6AD1Y1KW32H8THQ6F76</t>
  </si>
  <si>
    <t>BOLIVIA, PLURINATIONAL STATE OF</t>
  </si>
  <si>
    <t>HKD</t>
  </si>
  <si>
    <t>Currency #4</t>
  </si>
  <si>
    <t>Powszechna Kasa Oszczednosci Bank Polski S.A.</t>
  </si>
  <si>
    <t>P4GTT6GF1W40CVIMFR43</t>
  </si>
  <si>
    <t>BONAIRE, SINT EUSTATIUS AND SABA</t>
  </si>
  <si>
    <t>HNL</t>
  </si>
  <si>
    <t>Currency #5</t>
  </si>
  <si>
    <t>Raiffeisen Bank International AG</t>
  </si>
  <si>
    <t>9ZHRYM6F437SQJ6OUG95</t>
  </si>
  <si>
    <t>BOSNIA AND HERZEGOVINA</t>
  </si>
  <si>
    <t>HRK</t>
  </si>
  <si>
    <t>Currency #6</t>
  </si>
  <si>
    <t>SBAB Bank AB – group</t>
  </si>
  <si>
    <t>H0YX5LBGKDVOWCXBZ594</t>
  </si>
  <si>
    <t>BOTSWANA</t>
  </si>
  <si>
    <t>HTG</t>
  </si>
  <si>
    <t>Currency #7</t>
  </si>
  <si>
    <t>Skandinaviska Enskilda Banken — group</t>
  </si>
  <si>
    <t>F3JS33DEI6XQ4ZBPTN86</t>
  </si>
  <si>
    <t>BOUVET ISLAND</t>
  </si>
  <si>
    <t>HUF</t>
  </si>
  <si>
    <t>Currency #8</t>
  </si>
  <si>
    <t>O2RNE8IBXP4R0TD8PU41</t>
  </si>
  <si>
    <t>BRAZIL</t>
  </si>
  <si>
    <t>IDR</t>
  </si>
  <si>
    <t>Currency #9</t>
  </si>
  <si>
    <t>Svenska Handelsbanken — group</t>
  </si>
  <si>
    <t>NHBDILHZTYCNBV5UYZ31</t>
  </si>
  <si>
    <t>BRITISH INDIAN OCEAN TERRITORY</t>
  </si>
  <si>
    <t>ILS</t>
  </si>
  <si>
    <t>Currency #10</t>
  </si>
  <si>
    <t>Swedbank — group</t>
  </si>
  <si>
    <t>M312WZV08Y7LYUC71685</t>
  </si>
  <si>
    <t>BRUNEI DARUSSALAM</t>
  </si>
  <si>
    <t>IMP</t>
  </si>
  <si>
    <t>Currency #11</t>
  </si>
  <si>
    <t>BURKINA FASO</t>
  </si>
  <si>
    <t>INR</t>
  </si>
  <si>
    <t>Currency #12</t>
  </si>
  <si>
    <t>UniCredit S.p.A.</t>
  </si>
  <si>
    <t>549300TRUWO2CD2G5692</t>
  </si>
  <si>
    <t>BURUNDI</t>
  </si>
  <si>
    <t>IQD</t>
  </si>
  <si>
    <t>Currency #13</t>
  </si>
  <si>
    <t>Volkswagen Financial Services AG</t>
  </si>
  <si>
    <t>529900SSGT49ZZSWYE62</t>
  </si>
  <si>
    <t>CAMBODIA</t>
  </si>
  <si>
    <t>IRR</t>
  </si>
  <si>
    <t>Currency #14</t>
  </si>
  <si>
    <t>CAMEROON</t>
  </si>
  <si>
    <t>ISK</t>
  </si>
  <si>
    <t>Currency #15</t>
  </si>
  <si>
    <t>CANADA</t>
  </si>
  <si>
    <t>JEP</t>
  </si>
  <si>
    <t>CAPE VERDE</t>
  </si>
  <si>
    <t>JMD</t>
  </si>
  <si>
    <t>CAYMAN ISLANDS</t>
  </si>
  <si>
    <t>JOD</t>
  </si>
  <si>
    <t>P&amp;L: NFCI 2026</t>
  </si>
  <si>
    <t>Breakdown of 'Net fee and commission income' 2026 (in mln EUR)</t>
  </si>
  <si>
    <t>CENTRAL AFRICAN REPUBLIC</t>
  </si>
  <si>
    <t>JPY</t>
  </si>
  <si>
    <t>NFCI 2020</t>
  </si>
  <si>
    <t>CHAD</t>
  </si>
  <si>
    <t>KES</t>
  </si>
  <si>
    <t>CHILE</t>
  </si>
  <si>
    <t>KGS</t>
  </si>
  <si>
    <t>CHINA</t>
  </si>
  <si>
    <t>KHR</t>
  </si>
  <si>
    <t>CHRISTMAS ISLAND</t>
  </si>
  <si>
    <t>KMF</t>
  </si>
  <si>
    <t>COCOS (KEELING) ISLANDS</t>
  </si>
  <si>
    <t>KPW</t>
  </si>
  <si>
    <t>COLOMBIA</t>
  </si>
  <si>
    <t>KRW</t>
  </si>
  <si>
    <t>COMOROS</t>
  </si>
  <si>
    <t>KWD</t>
  </si>
  <si>
    <t>CONGO</t>
  </si>
  <si>
    <t>KYD</t>
  </si>
  <si>
    <t>CONGO, THE DEMOCRATIC REPUBLIC OF THE</t>
  </si>
  <si>
    <t>KZT</t>
  </si>
  <si>
    <t>COOK ISLANDS</t>
  </si>
  <si>
    <t>LAK</t>
  </si>
  <si>
    <t>COSTA RICA</t>
  </si>
  <si>
    <t>LBP</t>
  </si>
  <si>
    <t>CÔTE D'IVOIRE</t>
  </si>
  <si>
    <t>LKR</t>
  </si>
  <si>
    <t>CUBA</t>
  </si>
  <si>
    <t>LRD</t>
  </si>
  <si>
    <t>CURAÇAO</t>
  </si>
  <si>
    <t>LSL</t>
  </si>
  <si>
    <t>DJIBOUTI</t>
  </si>
  <si>
    <t>LYD</t>
  </si>
  <si>
    <t>DOMINICA</t>
  </si>
  <si>
    <t>MAD</t>
  </si>
  <si>
    <t>DOMINICAN REPUBLIC</t>
  </si>
  <si>
    <t>MDL</t>
  </si>
  <si>
    <t>ECUADOR</t>
  </si>
  <si>
    <t>MGA</t>
  </si>
  <si>
    <t>Presentation currency</t>
  </si>
  <si>
    <t>EGYPT</t>
  </si>
  <si>
    <t>MKD</t>
  </si>
  <si>
    <t>EL SALVADOR</t>
  </si>
  <si>
    <t>MMK</t>
  </si>
  <si>
    <t>EQUATORIAL GUINEA</t>
  </si>
  <si>
    <t>MNT</t>
  </si>
  <si>
    <t>Net fee and commission income  - Cumulative reduction from the starting point</t>
  </si>
  <si>
    <t>ERITREA</t>
  </si>
  <si>
    <t>MOP</t>
  </si>
  <si>
    <t>Scenario</t>
  </si>
  <si>
    <t>ETHIOPIA</t>
  </si>
  <si>
    <t>MRU</t>
  </si>
  <si>
    <t>Baseline</t>
  </si>
  <si>
    <t>FALKLAND ISLANDS (MALVINAS)</t>
  </si>
  <si>
    <t>MUR</t>
  </si>
  <si>
    <t>Adverse</t>
  </si>
  <si>
    <t>FAROE ISLANDS</t>
  </si>
  <si>
    <t>MVR</t>
  </si>
  <si>
    <t>FIJI</t>
  </si>
  <si>
    <t>MWK</t>
  </si>
  <si>
    <t>P&amp;L: Admin. exp.</t>
  </si>
  <si>
    <t>FRENCH GUIANA</t>
  </si>
  <si>
    <t>MXN</t>
  </si>
  <si>
    <t>FRENCH POLYNESIA</t>
  </si>
  <si>
    <t>MYR</t>
  </si>
  <si>
    <t>FRENCH SOUTHERN TERRITORIES</t>
  </si>
  <si>
    <t>MZN</t>
  </si>
  <si>
    <t>GABON</t>
  </si>
  <si>
    <t>NAD</t>
  </si>
  <si>
    <t>GAMBIA</t>
  </si>
  <si>
    <t>NGN</t>
  </si>
  <si>
    <t>GEORGIA</t>
  </si>
  <si>
    <t>NIO</t>
  </si>
  <si>
    <t>GHANA</t>
  </si>
  <si>
    <t>NOK</t>
  </si>
  <si>
    <t>GIBRALTAR</t>
  </si>
  <si>
    <t>NPR</t>
  </si>
  <si>
    <t>GREENLAND</t>
  </si>
  <si>
    <t>NZD</t>
  </si>
  <si>
    <t>GRENADA</t>
  </si>
  <si>
    <t>OMR</t>
  </si>
  <si>
    <t>GUADELOUPE</t>
  </si>
  <si>
    <t>PAB</t>
  </si>
  <si>
    <t>GUAM</t>
  </si>
  <si>
    <t>PEN</t>
  </si>
  <si>
    <t>GUATEMALA</t>
  </si>
  <si>
    <t>PGK</t>
  </si>
  <si>
    <t>GUERNSEY</t>
  </si>
  <si>
    <t>PHP</t>
  </si>
  <si>
    <t>GUINEA</t>
  </si>
  <si>
    <t>PKR</t>
  </si>
  <si>
    <t>GUINEA-BISSAU</t>
  </si>
  <si>
    <t>PLN</t>
  </si>
  <si>
    <t>GUYANA</t>
  </si>
  <si>
    <t>PYG</t>
  </si>
  <si>
    <t>HAITI</t>
  </si>
  <si>
    <t>QAR</t>
  </si>
  <si>
    <t>HEARD ISLAND AND MCDONALD ISLANDS</t>
  </si>
  <si>
    <t>RON</t>
  </si>
  <si>
    <t>HOLY SEE (VATICAN CITY STATE)</t>
  </si>
  <si>
    <t>RSD</t>
  </si>
  <si>
    <t>HONDURAS</t>
  </si>
  <si>
    <t>RUB</t>
  </si>
  <si>
    <t>HONG KONG</t>
  </si>
  <si>
    <t>RWF</t>
  </si>
  <si>
    <t>INDIA</t>
  </si>
  <si>
    <t>SAR</t>
  </si>
  <si>
    <t>INDONESIA</t>
  </si>
  <si>
    <t>SBD</t>
  </si>
  <si>
    <t>IRAN, ISLAMIC REPUBLIC OF</t>
  </si>
  <si>
    <t>SCR</t>
  </si>
  <si>
    <t>IRAQ</t>
  </si>
  <si>
    <t>SDG</t>
  </si>
  <si>
    <t>ISLE OF MAN</t>
  </si>
  <si>
    <t>SEK</t>
  </si>
  <si>
    <t>ISRAEL</t>
  </si>
  <si>
    <t>SGD</t>
  </si>
  <si>
    <t>JAMAICA</t>
  </si>
  <si>
    <t>SHP</t>
  </si>
  <si>
    <t>JAPAN</t>
  </si>
  <si>
    <t>SLL</t>
  </si>
  <si>
    <t>JERSEY</t>
  </si>
  <si>
    <t>SOS</t>
  </si>
  <si>
    <t>JORDAN</t>
  </si>
  <si>
    <t>SRD</t>
  </si>
  <si>
    <t>KAZAKHSTAN</t>
  </si>
  <si>
    <t>STN</t>
  </si>
  <si>
    <t>KENYA</t>
  </si>
  <si>
    <t>SVC</t>
  </si>
  <si>
    <t>KIRIBATI</t>
  </si>
  <si>
    <t>SYP</t>
  </si>
  <si>
    <t>KOREA, DEMOCRATIC PEOPLE'S REPUBLIC OF</t>
  </si>
  <si>
    <t>SZL</t>
  </si>
  <si>
    <t>KOREA, REPUBLIC OF</t>
  </si>
  <si>
    <t>THB</t>
  </si>
  <si>
    <t>KOSOVO</t>
  </si>
  <si>
    <t>TJS</t>
  </si>
  <si>
    <t>KUWAIT</t>
  </si>
  <si>
    <t>TMT</t>
  </si>
  <si>
    <t>KYRGYZSTAN</t>
  </si>
  <si>
    <t>TND</t>
  </si>
  <si>
    <t>LAO PEOPLE'S DEMOCRATIC REPUBLIC</t>
  </si>
  <si>
    <t>TOP</t>
  </si>
  <si>
    <t>LEBANON</t>
  </si>
  <si>
    <t>TRY</t>
  </si>
  <si>
    <t>LESOTHO</t>
  </si>
  <si>
    <t>TTD</t>
  </si>
  <si>
    <t>LIBERIA</t>
  </si>
  <si>
    <t>TWD</t>
  </si>
  <si>
    <t>LIBYA</t>
  </si>
  <si>
    <t>TZS</t>
  </si>
  <si>
    <t>MACAO</t>
  </si>
  <si>
    <t>UAH</t>
  </si>
  <si>
    <t>MADAGASCAR</t>
  </si>
  <si>
    <t>UGX</t>
  </si>
  <si>
    <t>MALAWI</t>
  </si>
  <si>
    <t>USD</t>
  </si>
  <si>
    <t>MALAYSIA</t>
  </si>
  <si>
    <t>UYU</t>
  </si>
  <si>
    <t>MALDIVES</t>
  </si>
  <si>
    <t>UZS</t>
  </si>
  <si>
    <t>MALI</t>
  </si>
  <si>
    <t>VES</t>
  </si>
  <si>
    <t>MARSHALL ISLANDS</t>
  </si>
  <si>
    <t>VND</t>
  </si>
  <si>
    <t>MARTINIQUE</t>
  </si>
  <si>
    <t>VUV</t>
  </si>
  <si>
    <t>MAURITANIA</t>
  </si>
  <si>
    <t>WST</t>
  </si>
  <si>
    <t>MAURITIUS</t>
  </si>
  <si>
    <t>XAF</t>
  </si>
  <si>
    <t>MAYOTTE</t>
  </si>
  <si>
    <t>XCD</t>
  </si>
  <si>
    <t>MEXICO</t>
  </si>
  <si>
    <t>XDR</t>
  </si>
  <si>
    <t>MICRONESIA, FEDERATED STATES OF</t>
  </si>
  <si>
    <t>XOF</t>
  </si>
  <si>
    <t>MOLDOVA, REPUBLIC OF</t>
  </si>
  <si>
    <t>XPF</t>
  </si>
  <si>
    <t>MONACO</t>
  </si>
  <si>
    <t>YER</t>
  </si>
  <si>
    <t>MONGOLIA</t>
  </si>
  <si>
    <t>ZAR</t>
  </si>
  <si>
    <t>MONTENEGRO</t>
  </si>
  <si>
    <t>ZMW</t>
  </si>
  <si>
    <t>MONTSERRAT</t>
  </si>
  <si>
    <t>ZWG</t>
  </si>
  <si>
    <t>MOROCCO</t>
  </si>
  <si>
    <t>NII: OTHER</t>
  </si>
  <si>
    <t>MOZAMBIQUE</t>
  </si>
  <si>
    <t>NFCI: OTHER</t>
  </si>
  <si>
    <t>MYANMAR</t>
  </si>
  <si>
    <t>Admin. Exp.: OTHER</t>
  </si>
  <si>
    <t>NAMIBIA</t>
  </si>
  <si>
    <t>NAURU</t>
  </si>
  <si>
    <t>NEPAL</t>
  </si>
  <si>
    <t>NEW CALEDONIA</t>
  </si>
  <si>
    <t>NEW ZEALAND</t>
  </si>
  <si>
    <t>NICARAGUA</t>
  </si>
  <si>
    <t>NIGER</t>
  </si>
  <si>
    <t>NIGERIA</t>
  </si>
  <si>
    <t>NIUE</t>
  </si>
  <si>
    <t>NORFOLK ISLAND</t>
  </si>
  <si>
    <t>NORTH MACEDONIA</t>
  </si>
  <si>
    <t>NORTHERN MARIANA ISLANDS</t>
  </si>
  <si>
    <t>OMAN</t>
  </si>
  <si>
    <t>OTHER</t>
  </si>
  <si>
    <t>PAKISTAN</t>
  </si>
  <si>
    <t>PALAU</t>
  </si>
  <si>
    <t>PALESTINE, STATE OF</t>
  </si>
  <si>
    <t>PANAMA</t>
  </si>
  <si>
    <t>PAPUA NEW GUINEA</t>
  </si>
  <si>
    <t>PARAGUAY</t>
  </si>
  <si>
    <t>PERU</t>
  </si>
  <si>
    <t>PHILIPPINES</t>
  </si>
  <si>
    <t>PITCAIRN</t>
  </si>
  <si>
    <t>PUERTO RICO</t>
  </si>
  <si>
    <t>QATAR</t>
  </si>
  <si>
    <t>RÉUNION</t>
  </si>
  <si>
    <t>RUSSIAN FEDERATION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</si>
  <si>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</si>
  <si>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</si>
  <si>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</si>
  <si>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</si>
  <si>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</si>
  <si>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</si>
  <si>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</si>
  <si>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</si>
  <si>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</si>
  <si>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</si>
  <si>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</si>
  <si>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</si>
  <si>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</si>
  <si>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</si>
  <si>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</si>
  <si>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</si>
  <si>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</si>
  <si>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</si>
  <si>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SOLOMON ISLANDS</t>
  </si>
  <si>
    <t>SOMALIA</t>
  </si>
  <si>
    <t>SOUTH AFRICA</t>
  </si>
  <si>
    <t>SOUTH GEORGIA AND THE SOUTH SANDWICH ISLANDS</t>
  </si>
  <si>
    <t>SOUTH SUDAN</t>
  </si>
  <si>
    <t>SRI LANKA</t>
  </si>
  <si>
    <t>SUDAN</t>
  </si>
  <si>
    <t>SURINAME</t>
  </si>
  <si>
    <t>SVALBARD AND JAN MAYEN</t>
  </si>
  <si>
    <t>SWAZILAND</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</si>
  <si>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</si>
  <si>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</si>
  <si>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</si>
  <si>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</si>
  <si>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</si>
  <si>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</si>
  <si>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</si>
  <si>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</si>
  <si>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</si>
  <si>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</si>
  <si>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</si>
  <si>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</si>
  <si>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</si>
  <si>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</si>
  <si>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</si>
  <si>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</si>
  <si>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</si>
  <si>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</si>
  <si>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</si>
  <si>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</si>
  <si>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</si>
  <si>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</si>
  <si>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</si>
  <si>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</si>
  <si>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</si>
  <si>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</si>
  <si>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</si>
  <si>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</si>
  <si>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</si>
  <si>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</si>
  <si>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</si>
  <si>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</si>
  <si>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</si>
  <si>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</si>
  <si>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h</t>
  </si>
  <si>
    <t>Total</t>
  </si>
  <si>
    <t>Central banks</t>
  </si>
  <si>
    <t>General governments</t>
  </si>
  <si>
    <t>Credit institutions</t>
  </si>
  <si>
    <t>Other financial corporations</t>
  </si>
  <si>
    <t>Non-financial corporations</t>
  </si>
  <si>
    <t>Actual</t>
  </si>
  <si>
    <t>Adverse scenario</t>
  </si>
  <si>
    <t>Adverse Scenario</t>
  </si>
  <si>
    <t>Covered bonds</t>
  </si>
  <si>
    <t>Equity</t>
  </si>
  <si>
    <t>Positions as of 31/12/2026</t>
  </si>
  <si>
    <t>FVOCI</t>
  </si>
  <si>
    <t>Liabilities</t>
  </si>
  <si>
    <t>Net asset and liabilities</t>
  </si>
  <si>
    <t>Reference Date</t>
  </si>
  <si>
    <t>Category</t>
  </si>
  <si>
    <t>Notional exposure</t>
  </si>
  <si>
    <t>Fair Value</t>
  </si>
  <si>
    <t xml:space="preserve">Gains (+) / losses (-) from full revaluation </t>
  </si>
  <si>
    <t>Type of impact</t>
  </si>
  <si>
    <t xml:space="preserve">PnL impact </t>
  </si>
  <si>
    <t>OCI impact</t>
  </si>
  <si>
    <t>Breakdown of category level 1</t>
  </si>
  <si>
    <t xml:space="preserve">of which: supranational organisations position </t>
  </si>
  <si>
    <t xml:space="preserve">Additional Breakdowns </t>
  </si>
  <si>
    <t>Breakdown by risk factors (All positions)</t>
  </si>
  <si>
    <t>Type of sensitivity</t>
  </si>
  <si>
    <t>Delta</t>
  </si>
  <si>
    <t>Gamma</t>
  </si>
  <si>
    <t>Vega</t>
  </si>
  <si>
    <t>Delta*Vega</t>
  </si>
  <si>
    <t>Risk factor</t>
  </si>
  <si>
    <t>Funds</t>
  </si>
  <si>
    <t>Commodities</t>
  </si>
  <si>
    <t>Inflation</t>
  </si>
  <si>
    <t>Others</t>
  </si>
  <si>
    <t>Interest rates</t>
  </si>
  <si>
    <t>FX</t>
  </si>
  <si>
    <t>Credit spreads</t>
  </si>
  <si>
    <t>Sovereign</t>
  </si>
  <si>
    <t>Corporate</t>
  </si>
  <si>
    <t>Securitization</t>
  </si>
  <si>
    <t>Geographic area</t>
  </si>
  <si>
    <t>EU</t>
  </si>
  <si>
    <t>Rest of Europe</t>
  </si>
  <si>
    <t>Western Asia</t>
  </si>
  <si>
    <t>North America (excl. US)</t>
  </si>
  <si>
    <t>North America</t>
  </si>
  <si>
    <t>Latin America and the Caribbean</t>
  </si>
  <si>
    <t>Central and Eastern Asia</t>
  </si>
  <si>
    <t>Southern and South-eastern Asia</t>
  </si>
  <si>
    <t>Oceania</t>
  </si>
  <si>
    <t>Africa</t>
  </si>
  <si>
    <t>Asia</t>
  </si>
  <si>
    <t>Other FX</t>
  </si>
  <si>
    <t>Dividends</t>
  </si>
  <si>
    <t>US</t>
  </si>
  <si>
    <t>Euro Area</t>
  </si>
  <si>
    <t>Bulgaria</t>
  </si>
  <si>
    <t>Czech Republic</t>
  </si>
  <si>
    <t>Denmark</t>
  </si>
  <si>
    <t>Hungary</t>
  </si>
  <si>
    <t>Poland</t>
  </si>
  <si>
    <t>Romania</t>
  </si>
  <si>
    <t>Sweden</t>
  </si>
  <si>
    <t>UK</t>
  </si>
  <si>
    <t>Norway</t>
  </si>
  <si>
    <t>Switzerland</t>
  </si>
  <si>
    <t>Austria</t>
  </si>
  <si>
    <t>Belgium</t>
  </si>
  <si>
    <t>Croatia</t>
  </si>
  <si>
    <t>Cyprus</t>
  </si>
  <si>
    <t>Estonia</t>
  </si>
  <si>
    <t>Finland</t>
  </si>
  <si>
    <t>France</t>
  </si>
  <si>
    <t>Germany</t>
  </si>
  <si>
    <t>Greece</t>
  </si>
  <si>
    <t>Ireland</t>
  </si>
  <si>
    <t>Italy</t>
  </si>
  <si>
    <t>Latvia</t>
  </si>
  <si>
    <t>Lithuania</t>
  </si>
  <si>
    <t>Luxembourg</t>
  </si>
  <si>
    <t>Malta</t>
  </si>
  <si>
    <t>Netherlands</t>
  </si>
  <si>
    <t>Portugal</t>
  </si>
  <si>
    <t>Slovakia</t>
  </si>
  <si>
    <t>Slovenia</t>
  </si>
  <si>
    <t>Spain</t>
  </si>
  <si>
    <t>Type of maturity</t>
  </si>
  <si>
    <t>1Y</t>
  </si>
  <si>
    <t>5Y</t>
  </si>
  <si>
    <t>10Y</t>
  </si>
  <si>
    <t>Type of credit spread corporate</t>
  </si>
  <si>
    <t>Financial</t>
  </si>
  <si>
    <t>Non-financial</t>
  </si>
  <si>
    <t>Itraxx Overall</t>
  </si>
  <si>
    <t>Itraxx Crossover</t>
  </si>
  <si>
    <t>Itraxx High vol</t>
  </si>
  <si>
    <t>Itraxx Non financial</t>
  </si>
  <si>
    <t>Itraxx Financial</t>
  </si>
  <si>
    <t>Investment grade</t>
  </si>
  <si>
    <t>High yield</t>
  </si>
  <si>
    <t>Credit quality step 1 to 2
(ECAI)</t>
  </si>
  <si>
    <t>Credit quality step 3
(ECAI)</t>
  </si>
  <si>
    <t>Credit quality step 4 to 6
(ECAI)</t>
  </si>
  <si>
    <t>Type of ECAI</t>
  </si>
  <si>
    <t>Credit step 1 to 2
(ECAI)</t>
  </si>
  <si>
    <t>Credit step 3
(ECAI)</t>
  </si>
  <si>
    <t>Credit step 4 to 6
(ECAI)</t>
  </si>
  <si>
    <t>Type of currency</t>
  </si>
  <si>
    <t>EURCZK</t>
  </si>
  <si>
    <t>EURSEK</t>
  </si>
  <si>
    <t>EURHUF</t>
  </si>
  <si>
    <t>EURPLN</t>
  </si>
  <si>
    <t>EURRON</t>
  </si>
  <si>
    <t>EURGBP</t>
  </si>
  <si>
    <t>EURCHF</t>
  </si>
  <si>
    <t>EURRUB</t>
  </si>
  <si>
    <t>EURTRY</t>
  </si>
  <si>
    <t>EURCAD</t>
  </si>
  <si>
    <t>EURUSD</t>
  </si>
  <si>
    <t>EURBRL</t>
  </si>
  <si>
    <t>EURMXN</t>
  </si>
  <si>
    <t>EURCNY</t>
  </si>
  <si>
    <t>EURHKD</t>
  </si>
  <si>
    <t>EURINR</t>
  </si>
  <si>
    <t>EURJPY</t>
  </si>
  <si>
    <t>EURSGD</t>
  </si>
  <si>
    <t>EURZAR</t>
  </si>
  <si>
    <t>Type of commodity</t>
  </si>
  <si>
    <t>Oil Crude Brent</t>
  </si>
  <si>
    <t>Natural Gas</t>
  </si>
  <si>
    <t>Agricultural</t>
  </si>
  <si>
    <t>Metals</t>
  </si>
  <si>
    <t>Other Commodities</t>
  </si>
  <si>
    <t>Type of funds</t>
  </si>
  <si>
    <t>Bond funds</t>
  </si>
  <si>
    <t>Equity funds</t>
  </si>
  <si>
    <t>Mixed funds</t>
  </si>
  <si>
    <t>Private Equity funds</t>
  </si>
  <si>
    <t>Money Market funds</t>
  </si>
  <si>
    <t>Pension funds</t>
  </si>
  <si>
    <t>Hedge funds</t>
  </si>
  <si>
    <t>Real Estate funds</t>
  </si>
  <si>
    <t>Other funds</t>
  </si>
  <si>
    <t>CSV - Market risk: Full revaluation</t>
  </si>
  <si>
    <t xml:space="preserve">Notional exposure </t>
  </si>
  <si>
    <t>Breakdown by risk factors (of column 23) 
(Including TE banks)</t>
  </si>
  <si>
    <t>of which:
Delta sensitivity</t>
  </si>
  <si>
    <t>of which:
Gamma sensitivity</t>
  </si>
  <si>
    <t>of which:
Vega sensitivity</t>
  </si>
  <si>
    <t>of which:
Other sensitivity</t>
  </si>
  <si>
    <t>Row Num</t>
  </si>
  <si>
    <t>Trading item</t>
  </si>
  <si>
    <t>Balance sheet</t>
  </si>
  <si>
    <t>IFRS 9 Measurement type (1)</t>
  </si>
  <si>
    <t>Type of instrument (and related hedges)</t>
  </si>
  <si>
    <t>Type of counterparty</t>
  </si>
  <si>
    <r>
      <t>Credit step 1 to 2</t>
    </r>
    <r>
      <rPr>
        <sz val="10"/>
        <color theme="0"/>
        <rFont val="Tahoma"/>
        <family val="2"/>
      </rPr>
      <t xml:space="preserve">
(ECAI)</t>
    </r>
  </si>
  <si>
    <r>
      <t>Credit step 3</t>
    </r>
    <r>
      <rPr>
        <sz val="10"/>
        <color theme="0"/>
        <rFont val="Tahoma"/>
        <family val="2"/>
      </rPr>
      <t xml:space="preserve">
(ECAI)</t>
    </r>
  </si>
  <si>
    <r>
      <t>Credit step 4 to 6</t>
    </r>
    <r>
      <rPr>
        <sz val="10"/>
        <color theme="0"/>
        <rFont val="Tahoma"/>
        <family val="2"/>
      </rPr>
      <t xml:space="preserve">
(ECAI)</t>
    </r>
  </si>
  <si>
    <r>
      <t>Credit quality step 1 to 2</t>
    </r>
    <r>
      <rPr>
        <sz val="10"/>
        <color theme="0"/>
        <rFont val="Tahoma"/>
        <family val="2"/>
      </rPr>
      <t xml:space="preserve">
(ECAI)</t>
    </r>
  </si>
  <si>
    <r>
      <t>Credit quality step 3</t>
    </r>
    <r>
      <rPr>
        <sz val="10"/>
        <color theme="0"/>
        <rFont val="Tahoma"/>
        <family val="2"/>
      </rPr>
      <t xml:space="preserve">
(ECAI)</t>
    </r>
  </si>
  <si>
    <r>
      <t>Credit quality step 4 to 6</t>
    </r>
    <r>
      <rPr>
        <sz val="10"/>
        <color theme="0"/>
        <rFont val="Tahoma"/>
        <family val="2"/>
      </rPr>
      <t xml:space="preserve">
(ECAI)</t>
    </r>
  </si>
  <si>
    <t>non-HfT</t>
  </si>
  <si>
    <t>Asset</t>
  </si>
  <si>
    <t>Amortised cost</t>
  </si>
  <si>
    <t>Debt Instruments (and related hedges)</t>
  </si>
  <si>
    <t>Other (and related hedges)</t>
  </si>
  <si>
    <t>of which: items sensitivity (both hedged and/or not)</t>
  </si>
  <si>
    <t>FVPL</t>
  </si>
  <si>
    <t>of which: Fair Value Hedges</t>
  </si>
  <si>
    <t>FVPL / FVOCI</t>
  </si>
  <si>
    <t>of which: Economic Hedges</t>
  </si>
  <si>
    <t>Amortised cost / FVPL</t>
  </si>
  <si>
    <t>Equity instruments (and related hedges)</t>
  </si>
  <si>
    <t>FVOCI / FVPL</t>
  </si>
  <si>
    <t>Mandatory or optional at FVPL</t>
  </si>
  <si>
    <t>Mandatory or optional at FVPL / FVPL</t>
  </si>
  <si>
    <t>(1) Convention: after the " / "  is the measurement of either the hedged risk (for the hedged item) or the inefficient part (for the hedging instrument)</t>
  </si>
  <si>
    <t>Barclays Bank Ireland plc</t>
  </si>
  <si>
    <t>BNP Paribas</t>
  </si>
  <si>
    <t>BPER BANCA S.P.A.</t>
  </si>
  <si>
    <t>Caixa Geral de Depósitos, S.A.</t>
  </si>
  <si>
    <t>Caixabank, S.A.</t>
  </si>
  <si>
    <t>EUROBANK S.A.</t>
  </si>
  <si>
    <t>213800KGF4EFNUQKAT69</t>
  </si>
  <si>
    <t>J.P. Morgan SE</t>
  </si>
  <si>
    <t>MBH bankcsoport</t>
  </si>
  <si>
    <t>3H0Q3U74FVFED2SHZT16</t>
  </si>
  <si>
    <t>Société générale S.A.</t>
  </si>
  <si>
    <t>SPAREBANK 1 SØR NORGE ASA</t>
  </si>
  <si>
    <t>549300Q3OIWRHQUQM052</t>
  </si>
  <si>
    <t>SPAREBANKEN NORGE</t>
  </si>
  <si>
    <t>213800M7T3CYVZ3ZRT12</t>
  </si>
  <si>
    <r>
      <t>of which (of column 1)</t>
    </r>
    <r>
      <rPr>
        <sz val="12"/>
        <color theme="0"/>
        <rFont val="Tahoma"/>
        <family val="2"/>
      </rPr>
      <t xml:space="preserve">: fund positions </t>
    </r>
  </si>
  <si>
    <r>
      <t>of which (of column 4)</t>
    </r>
    <r>
      <rPr>
        <sz val="12"/>
        <color theme="0"/>
        <rFont val="Tahoma"/>
        <family val="2"/>
      </rPr>
      <t xml:space="preserve">: fund positions </t>
    </r>
  </si>
  <si>
    <t xml:space="preserve">of which: fund positions </t>
  </si>
  <si>
    <t xml:space="preserve">of which: supranational organisations positions </t>
  </si>
  <si>
    <r>
      <t>of which (of column 8)</t>
    </r>
    <r>
      <rPr>
        <sz val="12"/>
        <color theme="0"/>
        <rFont val="Tahoma"/>
        <family val="2"/>
      </rPr>
      <t xml:space="preserve">: fund positions </t>
    </r>
  </si>
  <si>
    <r>
      <t>of which (of column 10)</t>
    </r>
    <r>
      <rPr>
        <sz val="12"/>
        <color theme="0"/>
        <rFont val="Tahoma"/>
        <family val="2"/>
      </rPr>
      <t>: fund positions</t>
    </r>
  </si>
  <si>
    <r>
      <t>of which (of column 1)</t>
    </r>
    <r>
      <rPr>
        <sz val="12"/>
        <color theme="0"/>
        <rFont val="Tahoma"/>
        <family val="2"/>
      </rPr>
      <t xml:space="preserve">: supranational organisations positions </t>
    </r>
  </si>
  <si>
    <r>
      <t>of which (of column 4)</t>
    </r>
    <r>
      <rPr>
        <sz val="12"/>
        <color theme="0"/>
        <rFont val="Tahoma"/>
        <family val="2"/>
      </rPr>
      <t xml:space="preserve">: supranational organisations positions </t>
    </r>
  </si>
  <si>
    <t>Credit spread</t>
  </si>
  <si>
    <t>Type of credit spread</t>
  </si>
  <si>
    <t>of which: Cash Flow Hedges</t>
  </si>
  <si>
    <t>North America (excl.. US)</t>
  </si>
  <si>
    <t>Sensitivities
(Only for CA and CA-Adv banks)</t>
  </si>
  <si>
    <t>Input of bank name and relevant countries for credit risk, countries for climate physical risk, country/currency pairs for NII, currency breakdowns for NFCI and administrative expenses, NFCI prescribed parameters, countries for administrative expenses</t>
  </si>
  <si>
    <t>P&amp;L: Administrative Expenses 2026</t>
  </si>
  <si>
    <t>Breakdown of 'Administrative Expenses' 2026 net of average projected one-off effects (in mln EUR)</t>
  </si>
  <si>
    <t>Fair Value Hedges on FVOCI hedged items</t>
  </si>
  <si>
    <t>Cash Flow Hedges on FVOCI hedged items</t>
  </si>
  <si>
    <t>Economic Hedges (only derivatives) on FVOCI hedged items</t>
  </si>
  <si>
    <t>Fair Value Hedges on hedged items mandatory or optional at FVPL</t>
  </si>
  <si>
    <t>Cash Flow Hedges on hedged items mandatory or optional at FVPL</t>
  </si>
  <si>
    <t>Economic Hedges (only derivatives) on hedged items mandatory or optional at FVPL</t>
  </si>
  <si>
    <t>Fair Value Hedges on AC hedged items - assets</t>
  </si>
  <si>
    <t>Cash Flow Hedges on AC hedged items - assets</t>
  </si>
  <si>
    <t>Economic Hedges (only derivatives)  on AC hedged items - assets</t>
  </si>
  <si>
    <t>Fair Value Hedges on AC hedged items - liabilities</t>
  </si>
  <si>
    <t>Cash Flow Hedges on AC hedged items - liabilities</t>
  </si>
  <si>
    <t>Economic Hedges (only derivatives)  on AC hedged items -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</si>
</sst>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_(* #,##0_);_(* \(#,##0\);_(* &quot;-&quot;??_);_(@_)"/>
  </numFmts>
  <fonts count="32" x14ac:knownFonts="1">
    <font>
      <sz val="11"/>
      <color theme="1"/>
      <name val="Calibri"/>
      <family val="2"/>
      <scheme val="minor"/>
    </font>
    <font>
      <sz val="11"/>
      <color theme="1"/>
      <name val="Calibri"/>
      <family val="2"/>
      <scheme val="minor"/>
    </font>
    <font>
      <sz val="11"/>
      <color theme="0"/>
      <name val="Calibri"/>
      <family val="2"/>
      <scheme val="minor"/>
    </font>
    <font>
      <sz val="10"/>
      <name val="Arial"/>
      <family val="2"/>
    </font>
    <font>
      <sz val="10"/>
      <color theme="0"/>
      <name val="Tahoma"/>
      <family val="2"/>
    </font>
    <font>
      <b/>
      <sz val="10"/>
      <color theme="0"/>
      <name val="Tahoma"/>
      <family val="2"/>
    </font>
    <font>
      <sz val="10"/>
      <color theme="1"/>
      <name val="Calibri"/>
      <family val="2"/>
      <scheme val="minor"/>
    </font>
    <font>
      <sz val="10"/>
      <name val="Calibri"/>
      <family val="2"/>
      <scheme val="minor"/>
    </font>
    <font>
      <b/>
      <sz val="10"/>
      <color theme="1"/>
      <name val="Calibri"/>
      <family val="2"/>
      <scheme val="minor"/>
    </font>
    <font>
      <b/>
      <sz val="10"/>
      <color theme="0"/>
      <name val="Calibri"/>
      <family val="2"/>
      <scheme val="minor"/>
    </font>
    <font>
      <b/>
      <sz val="16"/>
      <color theme="1"/>
      <name val="Calibri"/>
      <family val="2"/>
      <scheme val="minor"/>
    </font>
    <font>
      <sz val="10"/>
      <name val="Helv"/>
    </font>
    <font>
      <u/>
      <sz val="11"/>
      <color theme="10"/>
      <name val="Calibri"/>
      <family val="2"/>
      <scheme val="minor"/>
    </font>
    <font>
      <u/>
      <sz val="10"/>
      <color theme="1"/>
      <name val="Calibri"/>
      <family val="2"/>
      <scheme val="minor"/>
    </font>
    <font>
      <sz val="11"/>
      <color rgb="FF000000"/>
      <name val="Calibri"/>
      <family val="2"/>
      <scheme val="minor"/>
    </font>
    <font>
      <sz val="11"/>
      <color theme="1"/>
      <name val="Arial"/>
      <family val="2"/>
    </font>
    <font>
      <sz val="10"/>
      <color theme="1"/>
      <name val="Tahoma"/>
      <family val="2"/>
    </font>
    <font>
      <sz val="10"/>
      <color rgb="FF000000"/>
      <name val="Tahoma"/>
      <family val="2"/>
    </font>
    <font>
      <sz val="10"/>
      <color rgb="FFFFFFFF"/>
      <name val="Tahoma"/>
      <family val="2"/>
    </font>
    <font>
      <b/>
      <sz val="10"/>
      <color rgb="FFFFFFFF"/>
      <name val="Tahoma"/>
      <family val="2"/>
    </font>
    <font>
      <b/>
      <sz val="24"/>
      <name val="Tahoma"/>
      <family val="2"/>
    </font>
    <font>
      <sz val="11"/>
      <color rgb="FF000000"/>
      <name val="Calibri"/>
      <family val="2"/>
    </font>
    <font>
      <sz val="11"/>
      <color rgb="FF808080"/>
      <name val="Calibri"/>
      <family val="2"/>
    </font>
    <font>
      <sz val="11"/>
      <color theme="0"/>
      <name val="Calibri"/>
      <family val="2"/>
    </font>
    <font>
      <sz val="11"/>
      <color rgb="FFF2F2F2"/>
      <name val="Calibri"/>
      <family val="2"/>
    </font>
    <font>
      <b/>
      <sz val="12"/>
      <color theme="0"/>
      <name val="Tahoma"/>
      <family val="2"/>
    </font>
    <font>
      <sz val="11"/>
      <name val="Calibri"/>
      <family val="2"/>
    </font>
    <font>
      <b/>
      <sz val="14"/>
      <color theme="0"/>
      <name val="Tahoma"/>
      <family val="2"/>
    </font>
    <font>
      <sz val="12"/>
      <color theme="0"/>
      <name val="Tahoma"/>
      <family val="2"/>
    </font>
    <font>
      <sz val="10"/>
      <color theme="1"/>
      <name val="Arial"/>
      <family val="2"/>
    </font>
    <font>
      <sz val="10"/>
      <color theme="0"/>
      <name val="Tahoma"/>
      <family val="2"/>
    </font>
    <font>
      <sz val="10"/>
      <color rgb="FF000000"/>
      <name val="Tahoma"/>
      <family val="2"/>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5987BF"/>
        <bgColor indexed="64"/>
      </patternFill>
    </fill>
    <fill>
      <patternFill patternType="solid">
        <fgColor rgb="FF243E5E"/>
        <bgColor indexed="64"/>
      </patternFill>
    </fill>
    <fill>
      <patternFill patternType="solid">
        <fgColor rgb="FFF3E198"/>
        <bgColor indexed="64"/>
      </patternFill>
    </fill>
    <fill>
      <patternFill patternType="solid">
        <fgColor rgb="FFD7B017"/>
        <bgColor indexed="64"/>
      </patternFill>
    </fill>
    <fill>
      <patternFill patternType="solid">
        <fgColor rgb="FFD9D9D9"/>
        <bgColor rgb="FF000000"/>
      </patternFill>
    </fill>
    <fill>
      <patternFill patternType="solid">
        <fgColor rgb="FF243E5E"/>
        <bgColor rgb="FF000000"/>
      </patternFill>
    </fill>
    <fill>
      <patternFill patternType="solid">
        <fgColor rgb="FF8F7610"/>
        <bgColor rgb="FF000000"/>
      </patternFill>
    </fill>
    <fill>
      <patternFill patternType="solid">
        <fgColor rgb="FFC6F0DD"/>
        <bgColor rgb="FF000000"/>
      </patternFill>
    </fill>
    <fill>
      <patternFill patternType="solid">
        <fgColor rgb="FF5987BF"/>
        <bgColor rgb="FF000000"/>
      </patternFill>
    </fill>
    <fill>
      <patternFill patternType="solid">
        <fgColor rgb="FFF3E198"/>
        <bgColor rgb="FF000000"/>
      </patternFill>
    </fill>
    <fill>
      <patternFill patternType="solid">
        <fgColor theme="0"/>
        <bgColor rgb="FF000000"/>
      </patternFill>
    </fill>
    <fill>
      <patternFill patternType="solid">
        <fgColor theme="7"/>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indexed="64"/>
      </right>
      <top style="medium">
        <color auto="1"/>
      </top>
      <bottom style="thin">
        <color auto="1"/>
      </bottom>
      <diagonal/>
    </border>
    <border>
      <left style="thin">
        <color indexed="64"/>
      </left>
      <right/>
      <top style="thin">
        <color indexed="64"/>
      </top>
      <bottom style="medium">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auto="1"/>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style="thin">
        <color indexed="64"/>
      </right>
      <top/>
      <bottom style="thin">
        <color theme="0" tint="-0.499984740745262"/>
      </bottom>
      <diagonal/>
    </border>
    <border>
      <left style="thin">
        <color indexed="64"/>
      </left>
      <right/>
      <top/>
      <bottom style="thin">
        <color theme="0" tint="-0.499984740745262"/>
      </bottom>
      <diagonal/>
    </border>
    <border>
      <left style="thin">
        <color indexed="64"/>
      </left>
      <right style="medium">
        <color indexed="64"/>
      </right>
      <top/>
      <bottom style="thin">
        <color theme="0" tint="-0.499984740745262"/>
      </bottom>
      <diagonal/>
    </border>
    <border>
      <left style="medium">
        <color indexed="64"/>
      </left>
      <right style="thin">
        <color indexed="64"/>
      </right>
      <top style="thin">
        <color theme="0" tint="-0.499984740745262"/>
      </top>
      <bottom style="thin">
        <color theme="0" tint="-0.499984740745262"/>
      </bottom>
      <diagonal/>
    </border>
    <border>
      <left style="medium">
        <color indexed="64"/>
      </left>
      <right style="thin">
        <color indexed="64"/>
      </right>
      <top style="thin">
        <color theme="0" tint="-0.499984740745262"/>
      </top>
      <bottom style="medium">
        <color indexed="64"/>
      </bottom>
      <diagonal/>
    </border>
    <border>
      <left style="medium">
        <color indexed="64"/>
      </left>
      <right style="medium">
        <color indexed="64"/>
      </right>
      <top style="thin">
        <color theme="0" tint="-0.499984740745262"/>
      </top>
      <bottom style="medium">
        <color indexed="64"/>
      </bottom>
      <diagonal/>
    </border>
    <border>
      <left style="thin">
        <color rgb="FF808080"/>
      </left>
      <right/>
      <top/>
      <bottom style="thin">
        <color rgb="FF808080"/>
      </bottom>
      <diagonal/>
    </border>
    <border>
      <left style="thin">
        <color indexed="64"/>
      </left>
      <right style="medium">
        <color indexed="64"/>
      </right>
      <top/>
      <bottom style="thin">
        <color rgb="FF808080"/>
      </bottom>
      <diagonal/>
    </border>
    <border>
      <left style="thin">
        <color rgb="FF808080"/>
      </left>
      <right/>
      <top style="thin">
        <color rgb="FF808080"/>
      </top>
      <bottom style="thin">
        <color rgb="FF808080"/>
      </bottom>
      <diagonal/>
    </border>
    <border>
      <left style="thin">
        <color indexed="64"/>
      </left>
      <right style="medium">
        <color indexed="64"/>
      </right>
      <top style="thin">
        <color rgb="FF808080"/>
      </top>
      <bottom style="thin">
        <color rgb="FF808080"/>
      </bottom>
      <diagonal/>
    </border>
    <border>
      <left style="medium">
        <color indexed="64"/>
      </left>
      <right style="medium">
        <color indexed="64"/>
      </right>
      <top/>
      <bottom style="thin">
        <color theme="0" tint="-0.499984740745262"/>
      </bottom>
      <diagonal/>
    </border>
    <border>
      <left style="medium">
        <color indexed="64"/>
      </left>
      <right style="medium">
        <color indexed="64"/>
      </right>
      <top style="thin">
        <color theme="0" tint="-0.499984740745262"/>
      </top>
      <bottom style="thin">
        <color theme="0" tint="-0.499984740745262"/>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bottom style="thin">
        <color indexed="64"/>
      </bottom>
      <diagonal/>
    </border>
    <border>
      <left/>
      <right/>
      <top style="thin">
        <color rgb="FF000000"/>
      </top>
      <bottom/>
      <diagonal/>
    </border>
    <border>
      <left/>
      <right style="thin">
        <color indexed="64"/>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indexed="64"/>
      </right>
      <top/>
      <bottom style="thin">
        <color rgb="FF000000"/>
      </bottom>
      <diagonal/>
    </border>
    <border>
      <left style="thin">
        <color rgb="FF000000"/>
      </left>
      <right/>
      <top style="thin">
        <color indexed="64"/>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39">
    <xf numFmtId="0" fontId="0" fillId="0" borderId="0"/>
    <xf numFmtId="9" fontId="1" fillId="0" borderId="0" applyFont="0" applyFill="0" applyBorder="0" applyAlignment="0" applyProtection="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1" fillId="0" borderId="0"/>
    <xf numFmtId="0" fontId="12" fillId="0" borderId="0" applyNumberFormat="0" applyFill="0" applyBorder="0" applyAlignment="0" applyProtection="0"/>
    <xf numFmtId="164" fontId="1" fillId="0" borderId="0" applyFont="0" applyFill="0" applyBorder="0" applyAlignment="0" applyProtection="0"/>
    <xf numFmtId="0" fontId="3" fillId="0" borderId="0"/>
    <xf numFmtId="164" fontId="1" fillId="0" borderId="0" applyFont="0" applyFill="0" applyBorder="0" applyAlignment="0" applyProtection="0"/>
    <xf numFmtId="9" fontId="3" fillId="0" borderId="0" applyFont="0" applyFill="0" applyBorder="0" applyAlignment="0" applyProtection="0"/>
    <xf numFmtId="0" fontId="3" fillId="0" borderId="0"/>
    <xf numFmtId="0" fontId="1" fillId="0" borderId="0"/>
    <xf numFmtId="9" fontId="3" fillId="0" borderId="0" applyFont="0" applyFill="0" applyBorder="0" applyAlignment="0" applyProtection="0"/>
    <xf numFmtId="0" fontId="1" fillId="0" borderId="0"/>
    <xf numFmtId="0" fontId="3" fillId="0" borderId="0"/>
    <xf numFmtId="0" fontId="15" fillId="0" borderId="0"/>
    <xf numFmtId="43" fontId="1" fillId="0" borderId="0" applyFont="0" applyFill="0" applyBorder="0" applyAlignment="0" applyProtection="0"/>
    <xf numFmtId="0" fontId="29"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50">
    <xf numFmtId="0" fontId="0" fillId="0" borderId="0" xfId="0"/>
    <xf numFmtId="0" fontId="2" fillId="0" borderId="0" xfId="0" applyFont="1"/>
    <xf numFmtId="0" fontId="6" fillId="0" borderId="0" xfId="0" applyFont="1"/>
    <xf numFmtId="0" fontId="9" fillId="5" borderId="21" xfId="0" applyFont="1" applyFill="1" applyBorder="1" applyAlignment="1">
      <alignment horizontal="center" vertical="center"/>
    </xf>
    <xf numFmtId="0" fontId="0" fillId="3" borderId="0" xfId="0" applyFill="1"/>
    <xf numFmtId="0" fontId="6" fillId="0" borderId="0" xfId="0" applyFont="1" applyAlignment="1">
      <alignment vertical="center"/>
    </xf>
    <xf numFmtId="0" fontId="6" fillId="0" borderId="0" xfId="0" applyFont="1" applyAlignment="1">
      <alignment horizontal="center" vertical="center"/>
    </xf>
    <xf numFmtId="0" fontId="10" fillId="0" borderId="0" xfId="0" applyFont="1" applyAlignment="1">
      <alignment vertical="center"/>
    </xf>
    <xf numFmtId="0" fontId="8" fillId="6" borderId="21" xfId="0" applyFont="1" applyFill="1" applyBorder="1" applyAlignment="1">
      <alignment horizontal="center" vertical="center"/>
    </xf>
    <xf numFmtId="0" fontId="9" fillId="5" borderId="44" xfId="0" applyFont="1" applyFill="1" applyBorder="1" applyAlignment="1">
      <alignment horizontal="left" vertical="center"/>
    </xf>
    <xf numFmtId="0" fontId="6" fillId="0" borderId="57" xfId="0" applyFont="1" applyBorder="1" applyAlignment="1" applyProtection="1">
      <alignment horizontal="center" vertical="center"/>
      <protection locked="0"/>
    </xf>
    <xf numFmtId="0" fontId="9" fillId="5" borderId="21" xfId="0" applyFont="1" applyFill="1" applyBorder="1" applyAlignment="1">
      <alignment vertical="center"/>
    </xf>
    <xf numFmtId="0" fontId="9" fillId="5" borderId="21" xfId="0" applyFont="1" applyFill="1" applyBorder="1" applyAlignment="1">
      <alignment horizontal="left" vertical="center"/>
    </xf>
    <xf numFmtId="0" fontId="9" fillId="5" borderId="42" xfId="0" applyFont="1" applyFill="1" applyBorder="1" applyAlignment="1">
      <alignment horizontal="left" vertical="center"/>
    </xf>
    <xf numFmtId="0" fontId="0" fillId="6" borderId="17" xfId="0" applyFill="1" applyBorder="1" applyAlignment="1">
      <alignment vertical="center"/>
    </xf>
    <xf numFmtId="0" fontId="6" fillId="2" borderId="44" xfId="0" applyFont="1" applyFill="1" applyBorder="1" applyAlignment="1">
      <alignment vertical="center"/>
    </xf>
    <xf numFmtId="0" fontId="6" fillId="2" borderId="22" xfId="0" applyFont="1" applyFill="1" applyBorder="1" applyAlignment="1">
      <alignment vertical="center"/>
    </xf>
    <xf numFmtId="0" fontId="6" fillId="2" borderId="26" xfId="0" applyFont="1" applyFill="1" applyBorder="1" applyAlignment="1">
      <alignment vertical="center"/>
    </xf>
    <xf numFmtId="0" fontId="6" fillId="2" borderId="26" xfId="0" applyFont="1" applyFill="1" applyBorder="1" applyAlignment="1">
      <alignment horizontal="center" vertical="center"/>
    </xf>
    <xf numFmtId="165" fontId="6" fillId="0" borderId="0" xfId="1" applyNumberFormat="1" applyFont="1" applyAlignment="1">
      <alignment vertical="center"/>
    </xf>
    <xf numFmtId="0" fontId="6" fillId="2" borderId="27" xfId="0" applyFont="1" applyFill="1" applyBorder="1" applyAlignment="1">
      <alignment vertical="center"/>
    </xf>
    <xf numFmtId="0" fontId="6" fillId="2" borderId="27" xfId="0" applyFont="1" applyFill="1" applyBorder="1" applyAlignment="1">
      <alignment horizontal="center" vertical="center"/>
    </xf>
    <xf numFmtId="165" fontId="6" fillId="2" borderId="26" xfId="1" applyNumberFormat="1" applyFont="1" applyFill="1" applyBorder="1" applyAlignment="1" applyProtection="1">
      <alignment horizontal="center" vertical="center"/>
      <protection locked="0"/>
    </xf>
    <xf numFmtId="0" fontId="9" fillId="5" borderId="19" xfId="0" applyFont="1" applyFill="1" applyBorder="1" applyAlignment="1">
      <alignment horizontal="left" vertical="center"/>
    </xf>
    <xf numFmtId="0" fontId="9" fillId="5" borderId="6" xfId="0" applyFont="1" applyFill="1" applyBorder="1" applyAlignment="1">
      <alignment horizontal="left" vertical="center"/>
    </xf>
    <xf numFmtId="0" fontId="9" fillId="5" borderId="20" xfId="0" applyFont="1" applyFill="1" applyBorder="1" applyAlignment="1">
      <alignment horizontal="left" vertical="center"/>
    </xf>
    <xf numFmtId="0" fontId="8" fillId="2" borderId="63" xfId="0" applyFont="1" applyFill="1" applyBorder="1" applyAlignment="1">
      <alignment vertical="center"/>
    </xf>
    <xf numFmtId="0" fontId="6" fillId="6" borderId="65" xfId="0" applyFont="1" applyFill="1" applyBorder="1" applyAlignment="1">
      <alignment horizontal="center" vertical="center"/>
    </xf>
    <xf numFmtId="0" fontId="8" fillId="2" borderId="66" xfId="0" applyFont="1" applyFill="1" applyBorder="1" applyAlignment="1">
      <alignment vertical="center"/>
    </xf>
    <xf numFmtId="165" fontId="6" fillId="0" borderId="0" xfId="0" applyNumberFormat="1" applyFont="1" applyAlignment="1">
      <alignment vertical="center"/>
    </xf>
    <xf numFmtId="0" fontId="8" fillId="2" borderId="67" xfId="0" applyFont="1" applyFill="1" applyBorder="1" applyAlignment="1">
      <alignment vertical="center"/>
    </xf>
    <xf numFmtId="0" fontId="6" fillId="6" borderId="68" xfId="0" applyFont="1" applyFill="1" applyBorder="1" applyAlignment="1">
      <alignment horizontal="center" vertical="center"/>
    </xf>
    <xf numFmtId="0" fontId="9" fillId="5" borderId="14" xfId="0" applyFont="1" applyFill="1" applyBorder="1" applyAlignment="1">
      <alignment horizontal="left" vertical="center"/>
    </xf>
    <xf numFmtId="0" fontId="9" fillId="5" borderId="56" xfId="0" applyFont="1" applyFill="1" applyBorder="1" applyAlignment="1">
      <alignment horizontal="left" vertical="center"/>
    </xf>
    <xf numFmtId="0" fontId="9" fillId="5" borderId="61" xfId="0" applyFont="1" applyFill="1" applyBorder="1" applyAlignment="1">
      <alignment horizontal="left" vertical="center"/>
    </xf>
    <xf numFmtId="0" fontId="8" fillId="2" borderId="36" xfId="0" applyFont="1" applyFill="1" applyBorder="1" applyAlignment="1">
      <alignment vertical="center"/>
    </xf>
    <xf numFmtId="0" fontId="6" fillId="0" borderId="40" xfId="0" applyFont="1" applyBorder="1" applyAlignment="1">
      <alignment horizontal="center" vertical="center"/>
    </xf>
    <xf numFmtId="0" fontId="8" fillId="2" borderId="55" xfId="0" applyFont="1" applyFill="1" applyBorder="1" applyAlignment="1">
      <alignment vertical="center"/>
    </xf>
    <xf numFmtId="0" fontId="6" fillId="0" borderId="37" xfId="0" applyFont="1" applyBorder="1" applyAlignment="1">
      <alignment horizontal="center" vertical="center"/>
    </xf>
    <xf numFmtId="0" fontId="6" fillId="0" borderId="25" xfId="0" applyFont="1" applyBorder="1" applyAlignment="1">
      <alignment horizontal="center" vertical="center"/>
    </xf>
    <xf numFmtId="165" fontId="6" fillId="6" borderId="21" xfId="1" applyNumberFormat="1" applyFont="1" applyFill="1" applyBorder="1" applyAlignment="1">
      <alignment horizontal="center" vertical="center"/>
    </xf>
    <xf numFmtId="0" fontId="9" fillId="5" borderId="34" xfId="0" applyFont="1" applyFill="1" applyBorder="1" applyAlignment="1">
      <alignment horizontal="center" vertical="center"/>
    </xf>
    <xf numFmtId="0" fontId="9" fillId="5" borderId="40" xfId="0" applyFont="1" applyFill="1" applyBorder="1" applyAlignment="1">
      <alignment horizontal="center" vertical="center" wrapText="1"/>
    </xf>
    <xf numFmtId="3" fontId="6" fillId="6" borderId="58" xfId="18" applyNumberFormat="1" applyFont="1" applyFill="1" applyBorder="1" applyAlignment="1" applyProtection="1">
      <alignment horizontal="center" vertical="center" wrapText="1" shrinkToFit="1"/>
      <protection locked="0"/>
    </xf>
    <xf numFmtId="0" fontId="7" fillId="0" borderId="29" xfId="0" applyFont="1" applyBorder="1" applyAlignment="1">
      <alignment horizontal="center" vertical="center"/>
    </xf>
    <xf numFmtId="0" fontId="8" fillId="8" borderId="31" xfId="0" applyFont="1" applyFill="1" applyBorder="1" applyAlignment="1">
      <alignment vertical="center"/>
    </xf>
    <xf numFmtId="0" fontId="7" fillId="0" borderId="69" xfId="0" applyFont="1" applyBorder="1" applyAlignment="1">
      <alignment horizontal="center" vertical="center"/>
    </xf>
    <xf numFmtId="0" fontId="7" fillId="0" borderId="70" xfId="0" applyFont="1" applyBorder="1" applyAlignment="1">
      <alignment horizontal="center" vertical="center"/>
    </xf>
    <xf numFmtId="0" fontId="8" fillId="8" borderId="37" xfId="0" applyFont="1" applyFill="1" applyBorder="1" applyAlignment="1">
      <alignment vertical="center"/>
    </xf>
    <xf numFmtId="0" fontId="7" fillId="0" borderId="71" xfId="0" applyFont="1" applyBorder="1" applyAlignment="1">
      <alignment horizontal="center" vertical="center"/>
    </xf>
    <xf numFmtId="0" fontId="7" fillId="0" borderId="72" xfId="0" applyFont="1" applyBorder="1" applyAlignment="1">
      <alignment horizontal="center" vertical="center"/>
    </xf>
    <xf numFmtId="0" fontId="8" fillId="8" borderId="35" xfId="0" applyFont="1" applyFill="1" applyBorder="1" applyAlignment="1">
      <alignment vertical="center"/>
    </xf>
    <xf numFmtId="4" fontId="6" fillId="6" borderId="10" xfId="18" applyNumberFormat="1" applyFont="1" applyFill="1" applyBorder="1" applyAlignment="1" applyProtection="1">
      <alignment horizontal="center" vertical="center" wrapText="1" shrinkToFit="1"/>
      <protection locked="0"/>
    </xf>
    <xf numFmtId="3" fontId="6" fillId="6" borderId="29" xfId="18" applyNumberFormat="1" applyFont="1" applyFill="1" applyBorder="1" applyAlignment="1" applyProtection="1">
      <alignment horizontal="center" vertical="center" wrapText="1" shrinkToFit="1"/>
      <protection locked="0"/>
    </xf>
    <xf numFmtId="3" fontId="6" fillId="6" borderId="16" xfId="18" applyNumberFormat="1" applyFont="1" applyFill="1" applyBorder="1" applyAlignment="1" applyProtection="1">
      <alignment horizontal="center" vertical="center" wrapText="1" shrinkToFit="1"/>
      <protection locked="0"/>
    </xf>
    <xf numFmtId="3" fontId="6" fillId="6" borderId="59" xfId="18" applyNumberFormat="1" applyFont="1" applyFill="1" applyBorder="1" applyAlignment="1" applyProtection="1">
      <alignment horizontal="center" vertical="center" wrapText="1" shrinkToFit="1"/>
      <protection locked="0"/>
    </xf>
    <xf numFmtId="0" fontId="9" fillId="5" borderId="19"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20" xfId="0" applyFont="1" applyFill="1" applyBorder="1" applyAlignment="1">
      <alignment horizontal="center" vertical="center"/>
    </xf>
    <xf numFmtId="9" fontId="7" fillId="0" borderId="55" xfId="1" applyFont="1" applyBorder="1" applyAlignment="1">
      <alignment horizontal="center" vertical="center"/>
    </xf>
    <xf numFmtId="9" fontId="7" fillId="0" borderId="1" xfId="1" applyFont="1" applyBorder="1" applyAlignment="1">
      <alignment horizontal="center" vertical="center"/>
    </xf>
    <xf numFmtId="9" fontId="7" fillId="0" borderId="25" xfId="1" applyFont="1" applyBorder="1" applyAlignment="1">
      <alignment horizontal="center" vertical="center"/>
    </xf>
    <xf numFmtId="9" fontId="7" fillId="0" borderId="58" xfId="1" applyFont="1" applyBorder="1" applyAlignment="1">
      <alignment horizontal="center" vertical="center"/>
    </xf>
    <xf numFmtId="9" fontId="7" fillId="0" borderId="30" xfId="1" applyFont="1" applyBorder="1" applyAlignment="1">
      <alignment horizontal="center" vertical="center"/>
    </xf>
    <xf numFmtId="9" fontId="7" fillId="0" borderId="29" xfId="1" applyFont="1" applyBorder="1" applyAlignment="1">
      <alignment horizontal="center" vertical="center"/>
    </xf>
    <xf numFmtId="0" fontId="9" fillId="5" borderId="15" xfId="0" applyFont="1" applyFill="1" applyBorder="1" applyAlignment="1">
      <alignment horizontal="left" vertical="center"/>
    </xf>
    <xf numFmtId="0" fontId="8" fillId="2" borderId="73" xfId="0" applyFont="1" applyFill="1" applyBorder="1" applyAlignment="1">
      <alignment vertical="center"/>
    </xf>
    <xf numFmtId="0" fontId="6" fillId="0" borderId="62" xfId="0" applyFont="1" applyBorder="1" applyAlignment="1">
      <alignment horizontal="center" vertical="center"/>
    </xf>
    <xf numFmtId="0" fontId="8" fillId="2" borderId="74" xfId="0" applyFont="1" applyFill="1" applyBorder="1" applyAlignment="1">
      <alignment vertical="center"/>
    </xf>
    <xf numFmtId="0" fontId="6" fillId="0" borderId="41" xfId="0" applyFont="1" applyBorder="1" applyAlignment="1">
      <alignment horizontal="center" vertical="center"/>
    </xf>
    <xf numFmtId="0" fontId="8" fillId="2" borderId="68" xfId="0" applyFont="1" applyFill="1" applyBorder="1" applyAlignment="1">
      <alignment vertical="center"/>
    </xf>
    <xf numFmtId="0" fontId="6" fillId="0" borderId="75" xfId="0" applyFont="1" applyBorder="1" applyAlignment="1">
      <alignment horizontal="center" vertical="center"/>
    </xf>
    <xf numFmtId="165" fontId="6" fillId="3" borderId="26" xfId="1" applyNumberFormat="1" applyFont="1" applyFill="1" applyBorder="1" applyAlignment="1" applyProtection="1">
      <alignment horizontal="center" vertical="center"/>
      <protection locked="0"/>
    </xf>
    <xf numFmtId="10" fontId="6" fillId="0" borderId="0" xfId="0" applyNumberFormat="1" applyFont="1" applyAlignment="1">
      <alignment vertical="center"/>
    </xf>
    <xf numFmtId="0" fontId="6" fillId="2" borderId="32" xfId="0" applyFont="1" applyFill="1" applyBorder="1" applyAlignment="1">
      <alignment horizontal="center" vertical="center"/>
    </xf>
    <xf numFmtId="165" fontId="6" fillId="2" borderId="32" xfId="1" applyNumberFormat="1" applyFont="1" applyFill="1" applyBorder="1" applyAlignment="1">
      <alignment horizontal="center" vertical="center"/>
    </xf>
    <xf numFmtId="0" fontId="6" fillId="2" borderId="32" xfId="0" applyFont="1" applyFill="1" applyBorder="1" applyAlignment="1">
      <alignment vertical="center"/>
    </xf>
    <xf numFmtId="0" fontId="0" fillId="2" borderId="0" xfId="0" applyFill="1"/>
    <xf numFmtId="14" fontId="0" fillId="2" borderId="0" xfId="0" applyNumberFormat="1" applyFill="1" applyAlignment="1">
      <alignment horizontal="left"/>
    </xf>
    <xf numFmtId="0" fontId="6" fillId="2" borderId="19" xfId="0" applyFont="1" applyFill="1" applyBorder="1" applyAlignment="1">
      <alignment vertical="center"/>
    </xf>
    <xf numFmtId="0" fontId="12" fillId="2" borderId="27" xfId="22" applyFill="1" applyBorder="1"/>
    <xf numFmtId="0" fontId="6" fillId="2" borderId="37" xfId="0" applyFont="1" applyFill="1" applyBorder="1"/>
    <xf numFmtId="0" fontId="12" fillId="2" borderId="32" xfId="22" applyFill="1" applyBorder="1"/>
    <xf numFmtId="0" fontId="10" fillId="0" borderId="0" xfId="0" applyFont="1"/>
    <xf numFmtId="0" fontId="6" fillId="3" borderId="1" xfId="0" applyFont="1" applyFill="1" applyBorder="1"/>
    <xf numFmtId="0" fontId="6" fillId="6" borderId="1" xfId="0" applyFont="1" applyFill="1" applyBorder="1"/>
    <xf numFmtId="0" fontId="6" fillId="7" borderId="1" xfId="0" applyFont="1" applyFill="1" applyBorder="1"/>
    <xf numFmtId="0" fontId="14" fillId="10" borderId="1" xfId="0" applyFont="1" applyFill="1" applyBorder="1"/>
    <xf numFmtId="0" fontId="14" fillId="11" borderId="1" xfId="0" applyFont="1" applyFill="1" applyBorder="1"/>
    <xf numFmtId="0" fontId="6" fillId="2" borderId="1" xfId="0" applyFont="1" applyFill="1" applyBorder="1"/>
    <xf numFmtId="14" fontId="9" fillId="5" borderId="1" xfId="0" applyNumberFormat="1" applyFont="1" applyFill="1" applyBorder="1" applyAlignment="1">
      <alignment horizontal="center" vertical="center" wrapText="1"/>
    </xf>
    <xf numFmtId="0" fontId="9" fillId="4" borderId="1" xfId="21" applyFont="1" applyFill="1" applyBorder="1" applyAlignment="1">
      <alignment horizontal="center" vertical="center" wrapText="1"/>
    </xf>
    <xf numFmtId="0" fontId="6" fillId="2" borderId="27" xfId="0" applyFont="1" applyFill="1" applyBorder="1"/>
    <xf numFmtId="0" fontId="6" fillId="2" borderId="32" xfId="0" applyFont="1" applyFill="1" applyBorder="1"/>
    <xf numFmtId="0" fontId="0" fillId="0" borderId="21" xfId="0" applyBorder="1" applyAlignment="1">
      <alignment horizontal="center"/>
    </xf>
    <xf numFmtId="0" fontId="17" fillId="0" borderId="43" xfId="0" applyFont="1" applyBorder="1"/>
    <xf numFmtId="0" fontId="17" fillId="0" borderId="9" xfId="0" applyFont="1" applyBorder="1"/>
    <xf numFmtId="0" fontId="17" fillId="0" borderId="1" xfId="0" applyFont="1" applyBorder="1"/>
    <xf numFmtId="3" fontId="6" fillId="6" borderId="10" xfId="18" applyNumberFormat="1" applyFont="1" applyFill="1" applyBorder="1" applyAlignment="1" applyProtection="1">
      <alignment horizontal="center" vertical="center" wrapText="1" shrinkToFit="1"/>
      <protection locked="0"/>
    </xf>
    <xf numFmtId="0" fontId="8" fillId="8" borderId="44" xfId="0" applyFont="1" applyFill="1" applyBorder="1" applyAlignment="1">
      <alignment horizontal="left" vertical="center"/>
    </xf>
    <xf numFmtId="0" fontId="8" fillId="8" borderId="32" xfId="0" applyFont="1" applyFill="1" applyBorder="1" applyAlignment="1">
      <alignment horizontal="left" vertical="center"/>
    </xf>
    <xf numFmtId="0" fontId="6" fillId="0" borderId="21" xfId="0" applyFont="1" applyBorder="1" applyAlignment="1">
      <alignment vertical="center"/>
    </xf>
    <xf numFmtId="0" fontId="21" fillId="3" borderId="0" xfId="0" applyFont="1" applyFill="1"/>
    <xf numFmtId="0" fontId="22" fillId="3" borderId="0" xfId="0" applyFont="1" applyFill="1"/>
    <xf numFmtId="0" fontId="23" fillId="3" borderId="0" xfId="0" applyFont="1" applyFill="1"/>
    <xf numFmtId="0" fontId="4" fillId="12" borderId="3" xfId="0" applyFont="1" applyFill="1" applyBorder="1" applyAlignment="1">
      <alignment horizontal="center" vertical="center" wrapText="1"/>
    </xf>
    <xf numFmtId="0" fontId="24" fillId="3" borderId="0" xfId="0" applyFont="1" applyFill="1"/>
    <xf numFmtId="0" fontId="5" fillId="12" borderId="1" xfId="0" applyFont="1" applyFill="1" applyBorder="1" applyAlignment="1">
      <alignment horizontal="center" vertical="center" wrapText="1"/>
    </xf>
    <xf numFmtId="0" fontId="5" fillId="12" borderId="13" xfId="0" applyFont="1" applyFill="1" applyBorder="1" applyAlignment="1">
      <alignment horizontal="center" vertical="center" wrapText="1"/>
    </xf>
    <xf numFmtId="0" fontId="5" fillId="12" borderId="23" xfId="0" applyFont="1" applyFill="1" applyBorder="1" applyAlignment="1">
      <alignment horizontal="center" vertical="center" wrapText="1"/>
    </xf>
    <xf numFmtId="0" fontId="20" fillId="3" borderId="0" xfId="0" applyFont="1" applyFill="1" applyAlignment="1" applyProtection="1">
      <alignment horizontal="left" vertical="center"/>
      <protection locked="0"/>
    </xf>
    <xf numFmtId="0" fontId="5" fillId="9" borderId="1" xfId="0" applyFont="1" applyFill="1" applyBorder="1" applyAlignment="1">
      <alignment horizontal="center" vertical="center" wrapText="1"/>
    </xf>
    <xf numFmtId="0" fontId="25" fillId="9" borderId="87" xfId="0" applyFont="1" applyFill="1" applyBorder="1" applyAlignment="1">
      <alignment horizontal="center" vertical="center" wrapText="1"/>
    </xf>
    <xf numFmtId="0" fontId="25" fillId="9" borderId="89" xfId="0" applyFont="1" applyFill="1" applyBorder="1" applyAlignment="1">
      <alignment horizontal="center" vertical="center" wrapText="1"/>
    </xf>
    <xf numFmtId="0" fontId="25" fillId="9" borderId="0" xfId="0" applyFont="1" applyFill="1" applyAlignment="1">
      <alignment horizontal="center" vertical="center" wrapText="1"/>
    </xf>
    <xf numFmtId="0" fontId="25" fillId="9" borderId="90" xfId="0" applyFont="1" applyFill="1" applyBorder="1" applyAlignment="1">
      <alignment horizontal="center" vertical="center" wrapText="1"/>
    </xf>
    <xf numFmtId="0" fontId="26" fillId="3" borderId="0" xfId="0" applyFont="1" applyFill="1"/>
    <xf numFmtId="0" fontId="25" fillId="9" borderId="92" xfId="0" applyFont="1" applyFill="1" applyBorder="1" applyAlignment="1">
      <alignment horizontal="center" vertical="center" wrapText="1"/>
    </xf>
    <xf numFmtId="0" fontId="25" fillId="9" borderId="54" xfId="0" applyFont="1" applyFill="1" applyBorder="1" applyAlignment="1">
      <alignment horizontal="center" vertical="center" wrapText="1"/>
    </xf>
    <xf numFmtId="166" fontId="26" fillId="3" borderId="0" xfId="23" applyNumberFormat="1" applyFont="1" applyFill="1"/>
    <xf numFmtId="0" fontId="25" fillId="9" borderId="1" xfId="0" applyFont="1" applyFill="1" applyBorder="1" applyAlignment="1">
      <alignment horizontal="center" vertical="center" wrapText="1"/>
    </xf>
    <xf numFmtId="165" fontId="26" fillId="3" borderId="0" xfId="1" applyNumberFormat="1" applyFont="1" applyFill="1" applyAlignment="1">
      <alignment horizontal="center"/>
    </xf>
    <xf numFmtId="0" fontId="25" fillId="12" borderId="1" xfId="0" applyFont="1" applyFill="1" applyBorder="1" applyAlignment="1">
      <alignment horizontal="center" vertical="center" wrapText="1"/>
    </xf>
    <xf numFmtId="0" fontId="5" fillId="9" borderId="47" xfId="0" applyFont="1" applyFill="1" applyBorder="1" applyAlignment="1">
      <alignment horizontal="center" vertical="center" wrapText="1"/>
    </xf>
    <xf numFmtId="0" fontId="5" fillId="9" borderId="1" xfId="0" applyFont="1" applyFill="1" applyBorder="1" applyAlignment="1">
      <alignment horizontal="left" vertical="center"/>
    </xf>
    <xf numFmtId="0" fontId="4" fillId="9" borderId="1" xfId="0" applyFont="1" applyFill="1" applyBorder="1" applyAlignment="1">
      <alignment horizontal="left" vertical="center"/>
    </xf>
    <xf numFmtId="0" fontId="17" fillId="13" borderId="43" xfId="0" applyFont="1" applyFill="1" applyBorder="1"/>
    <xf numFmtId="0" fontId="17" fillId="8" borderId="43" xfId="0" applyFont="1" applyFill="1" applyBorder="1"/>
    <xf numFmtId="0" fontId="17" fillId="8" borderId="9" xfId="0" applyFont="1" applyFill="1" applyBorder="1"/>
    <xf numFmtId="0" fontId="17" fillId="0" borderId="13" xfId="0" applyFont="1" applyBorder="1"/>
    <xf numFmtId="0" fontId="17" fillId="13" borderId="13" xfId="0" applyFont="1" applyFill="1" applyBorder="1"/>
    <xf numFmtId="0" fontId="17" fillId="8" borderId="13" xfId="0" applyFont="1" applyFill="1" applyBorder="1"/>
    <xf numFmtId="0" fontId="17" fillId="8" borderId="23" xfId="0" applyFont="1" applyFill="1" applyBorder="1"/>
    <xf numFmtId="0" fontId="17" fillId="0" borderId="23" xfId="0" applyFont="1" applyBorder="1"/>
    <xf numFmtId="0" fontId="17" fillId="13" borderId="28" xfId="0" applyFont="1" applyFill="1" applyBorder="1"/>
    <xf numFmtId="0" fontId="17" fillId="13" borderId="30" xfId="0" applyFont="1" applyFill="1" applyBorder="1"/>
    <xf numFmtId="0" fontId="17" fillId="13" borderId="3" xfId="0" applyFont="1" applyFill="1" applyBorder="1"/>
    <xf numFmtId="0" fontId="17" fillId="13" borderId="1" xfId="0" applyFont="1" applyFill="1" applyBorder="1"/>
    <xf numFmtId="0" fontId="17" fillId="8" borderId="1" xfId="0" applyFont="1" applyFill="1" applyBorder="1"/>
    <xf numFmtId="0" fontId="17" fillId="0" borderId="50" xfId="0" applyFont="1" applyBorder="1"/>
    <xf numFmtId="0" fontId="17" fillId="13" borderId="50" xfId="0" applyFont="1" applyFill="1" applyBorder="1"/>
    <xf numFmtId="0" fontId="17" fillId="8" borderId="50" xfId="0" applyFont="1" applyFill="1" applyBorder="1"/>
    <xf numFmtId="0" fontId="17" fillId="8" borderId="49" xfId="0" applyFont="1" applyFill="1" applyBorder="1"/>
    <xf numFmtId="0" fontId="17" fillId="13" borderId="9" xfId="0" applyFont="1" applyFill="1" applyBorder="1"/>
    <xf numFmtId="0" fontId="17" fillId="13" borderId="53" xfId="0" applyFont="1" applyFill="1" applyBorder="1"/>
    <xf numFmtId="0" fontId="17" fillId="13" borderId="47" xfId="0" applyFont="1" applyFill="1" applyBorder="1"/>
    <xf numFmtId="0" fontId="17" fillId="8" borderId="47" xfId="0" applyFont="1" applyFill="1" applyBorder="1"/>
    <xf numFmtId="0" fontId="18" fillId="12" borderId="23" xfId="0" applyFont="1" applyFill="1" applyBorder="1" applyAlignment="1">
      <alignment horizontal="center" vertical="center"/>
    </xf>
    <xf numFmtId="0" fontId="6" fillId="2" borderId="39" xfId="0" applyFont="1" applyFill="1" applyBorder="1"/>
    <xf numFmtId="0" fontId="6" fillId="2" borderId="31" xfId="0" applyFont="1" applyFill="1" applyBorder="1"/>
    <xf numFmtId="0" fontId="6" fillId="2" borderId="48" xfId="0" applyFont="1" applyFill="1" applyBorder="1"/>
    <xf numFmtId="0" fontId="6" fillId="2" borderId="35" xfId="0" applyFont="1" applyFill="1" applyBorder="1"/>
    <xf numFmtId="0" fontId="6" fillId="2" borderId="25" xfId="0" applyFont="1" applyFill="1" applyBorder="1"/>
    <xf numFmtId="0" fontId="6" fillId="2" borderId="29" xfId="0" applyFont="1" applyFill="1" applyBorder="1"/>
    <xf numFmtId="165" fontId="6" fillId="15" borderId="44" xfId="1" applyNumberFormat="1" applyFont="1" applyFill="1" applyBorder="1" applyAlignment="1" applyProtection="1">
      <alignment horizontal="center" vertical="center"/>
      <protection locked="0"/>
    </xf>
    <xf numFmtId="165" fontId="6" fillId="15" borderId="26" xfId="1" applyNumberFormat="1" applyFont="1" applyFill="1" applyBorder="1" applyAlignment="1" applyProtection="1">
      <alignment horizontal="center" vertical="center"/>
      <protection locked="0"/>
    </xf>
    <xf numFmtId="0" fontId="9" fillId="5" borderId="45" xfId="0" applyFont="1" applyFill="1" applyBorder="1" applyAlignment="1">
      <alignment horizontal="center" vertical="center"/>
    </xf>
    <xf numFmtId="0" fontId="9" fillId="5" borderId="33" xfId="0" applyFont="1" applyFill="1" applyBorder="1" applyAlignment="1">
      <alignment horizontal="center" vertical="center"/>
    </xf>
    <xf numFmtId="0" fontId="9" fillId="5" borderId="61" xfId="0" applyFont="1" applyFill="1" applyBorder="1" applyAlignment="1">
      <alignment horizontal="center" vertical="center"/>
    </xf>
    <xf numFmtId="0" fontId="9" fillId="3" borderId="0" xfId="0" applyFont="1" applyFill="1" applyAlignment="1">
      <alignment horizontal="left" vertical="center"/>
    </xf>
    <xf numFmtId="0" fontId="6" fillId="2" borderId="24" xfId="0" applyFont="1" applyFill="1" applyBorder="1"/>
    <xf numFmtId="0" fontId="12" fillId="2" borderId="26" xfId="22" applyFill="1" applyBorder="1"/>
    <xf numFmtId="0" fontId="6" fillId="2" borderId="26" xfId="0" applyFont="1" applyFill="1" applyBorder="1"/>
    <xf numFmtId="0" fontId="30" fillId="9" borderId="1" xfId="0" applyFont="1" applyFill="1" applyBorder="1" applyAlignment="1">
      <alignment horizontal="left" vertical="center"/>
    </xf>
    <xf numFmtId="0" fontId="31" fillId="13" borderId="13" xfId="0" applyFont="1" applyFill="1" applyBorder="1"/>
    <xf numFmtId="0" fontId="31" fillId="8" borderId="13" xfId="0" applyFont="1" applyFill="1" applyBorder="1"/>
    <xf numFmtId="0" fontId="31" fillId="0" borderId="13" xfId="0" applyFont="1" applyBorder="1"/>
    <xf numFmtId="0" fontId="18" fillId="12" borderId="47" xfId="0" applyFont="1" applyFill="1" applyBorder="1" applyAlignment="1">
      <alignment horizontal="center" vertical="center"/>
    </xf>
    <xf numFmtId="0" fontId="18" fillId="12" borderId="49" xfId="0" applyFont="1" applyFill="1" applyBorder="1" applyAlignment="1">
      <alignment horizontal="center" vertical="center"/>
    </xf>
    <xf numFmtId="0" fontId="4" fillId="12" borderId="4" xfId="0" applyFont="1" applyFill="1" applyBorder="1" applyAlignment="1">
      <alignment horizontal="center" vertical="center" wrapText="1"/>
    </xf>
    <xf numFmtId="0" fontId="4" fillId="12" borderId="5" xfId="0" applyFont="1" applyFill="1" applyBorder="1" applyAlignment="1">
      <alignment horizontal="center" vertical="center" wrapText="1"/>
    </xf>
    <xf numFmtId="0" fontId="4" fillId="12" borderId="3" xfId="0" applyFont="1" applyFill="1" applyBorder="1" applyAlignment="1">
      <alignment horizontal="left" vertical="center"/>
    </xf>
    <xf numFmtId="0" fontId="0" fillId="3" borderId="0" xfId="0" applyFill="1" applyAlignment="1">
      <alignment horizontal="center"/>
    </xf>
    <xf numFmtId="0" fontId="6" fillId="3" borderId="0" xfId="0" applyFont="1" applyFill="1" applyAlignment="1">
      <alignment horizontal="center" vertical="center"/>
    </xf>
    <xf numFmtId="0" fontId="6" fillId="0" borderId="64" xfId="0" applyFont="1" applyBorder="1" applyAlignment="1">
      <alignment horizontal="center" vertical="center"/>
    </xf>
    <xf numFmtId="0" fontId="6" fillId="0" borderId="38" xfId="0" applyFont="1" applyBorder="1" applyAlignment="1">
      <alignment horizontal="center" vertical="center"/>
    </xf>
    <xf numFmtId="0" fontId="6" fillId="0" borderId="65" xfId="0" applyFont="1" applyBorder="1" applyAlignment="1">
      <alignment horizontal="center" vertical="center"/>
    </xf>
    <xf numFmtId="0" fontId="6" fillId="0" borderId="59" xfId="0" applyFont="1" applyBorder="1" applyAlignment="1">
      <alignment horizontal="center" vertical="center"/>
    </xf>
    <xf numFmtId="0" fontId="5" fillId="14" borderId="50" xfId="0" applyFont="1" applyFill="1" applyBorder="1" applyAlignment="1">
      <alignment horizontal="center" vertical="center" wrapText="1"/>
    </xf>
    <xf numFmtId="0" fontId="19" fillId="12" borderId="47" xfId="0" applyFont="1" applyFill="1" applyBorder="1" applyAlignment="1">
      <alignment horizontal="center" vertical="center" wrapText="1"/>
    </xf>
    <xf numFmtId="0" fontId="6" fillId="2" borderId="46" xfId="0" applyFont="1" applyFill="1" applyBorder="1"/>
    <xf numFmtId="0" fontId="6" fillId="2" borderId="4" xfId="0" applyFont="1" applyFill="1" applyBorder="1"/>
    <xf numFmtId="0" fontId="6" fillId="2" borderId="10" xfId="0" applyFont="1" applyFill="1" applyBorder="1"/>
    <xf numFmtId="0" fontId="6" fillId="2" borderId="57" xfId="0" applyFont="1" applyFill="1" applyBorder="1"/>
    <xf numFmtId="0" fontId="6" fillId="2" borderId="41" xfId="0" applyFont="1" applyFill="1" applyBorder="1"/>
    <xf numFmtId="0" fontId="6" fillId="2" borderId="75" xfId="0" applyFont="1" applyFill="1" applyBorder="1"/>
    <xf numFmtId="0" fontId="12" fillId="2" borderId="44" xfId="22" applyFill="1" applyBorder="1"/>
    <xf numFmtId="0" fontId="6" fillId="2" borderId="11" xfId="0" applyFont="1" applyFill="1" applyBorder="1"/>
    <xf numFmtId="0" fontId="6" fillId="2" borderId="52" xfId="0" applyFont="1" applyFill="1" applyBorder="1"/>
    <xf numFmtId="0" fontId="6" fillId="2" borderId="62" xfId="0" applyFont="1" applyFill="1" applyBorder="1"/>
    <xf numFmtId="0" fontId="6" fillId="2" borderId="76" xfId="0" applyFont="1" applyFill="1" applyBorder="1"/>
    <xf numFmtId="0" fontId="6" fillId="2" borderId="7" xfId="0" applyFont="1" applyFill="1" applyBorder="1" applyAlignment="1">
      <alignment vertical="center"/>
    </xf>
    <xf numFmtId="0" fontId="6" fillId="2" borderId="15" xfId="0" quotePrefix="1" applyFont="1" applyFill="1" applyBorder="1" applyAlignment="1">
      <alignment wrapText="1"/>
    </xf>
    <xf numFmtId="0" fontId="12" fillId="2" borderId="21" xfId="22" applyFill="1" applyBorder="1" applyAlignment="1">
      <alignment vertical="center"/>
    </xf>
    <xf numFmtId="0" fontId="19" fillId="9" borderId="4" xfId="0" applyFont="1" applyFill="1" applyBorder="1" applyAlignment="1">
      <alignment horizontal="center" vertical="center" wrapText="1"/>
    </xf>
    <xf numFmtId="0" fontId="19" fillId="9" borderId="5" xfId="0" applyFont="1" applyFill="1" applyBorder="1" applyAlignment="1">
      <alignment horizontal="center" vertical="center" wrapText="1"/>
    </xf>
    <xf numFmtId="0" fontId="19" fillId="9" borderId="52" xfId="0" applyFont="1" applyFill="1" applyBorder="1" applyAlignment="1">
      <alignment horizontal="center" vertical="center" wrapText="1"/>
    </xf>
    <xf numFmtId="0" fontId="19" fillId="9" borderId="54" xfId="0" applyFont="1" applyFill="1" applyBorder="1" applyAlignment="1">
      <alignment horizontal="center" vertical="center" wrapText="1"/>
    </xf>
    <xf numFmtId="0" fontId="19" fillId="9" borderId="53"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5" fillId="9" borderId="52" xfId="0" applyFont="1" applyFill="1" applyBorder="1" applyAlignment="1">
      <alignment horizontal="center" vertical="center" wrapText="1"/>
    </xf>
    <xf numFmtId="0" fontId="5" fillId="9" borderId="54"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5" fillId="9" borderId="12" xfId="0" applyFont="1" applyFill="1" applyBorder="1" applyAlignment="1">
      <alignment horizontal="center" vertical="center" wrapText="1"/>
    </xf>
    <xf numFmtId="0" fontId="5" fillId="9" borderId="86"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25" fillId="9" borderId="77" xfId="0" applyFont="1" applyFill="1" applyBorder="1" applyAlignment="1">
      <alignment horizontal="center" vertical="center" wrapText="1"/>
    </xf>
    <xf numFmtId="0" fontId="25" fillId="9" borderId="81" xfId="0" applyFont="1" applyFill="1" applyBorder="1" applyAlignment="1">
      <alignment horizontal="center" vertical="center" wrapText="1"/>
    </xf>
    <xf numFmtId="0" fontId="25" fillId="9" borderId="78" xfId="0" applyFont="1" applyFill="1" applyBorder="1" applyAlignment="1">
      <alignment horizontal="center" vertical="center" wrapText="1"/>
    </xf>
    <xf numFmtId="0" fontId="25" fillId="9" borderId="80" xfId="0" applyFont="1" applyFill="1" applyBorder="1" applyAlignment="1">
      <alignment horizontal="center" vertical="center" wrapText="1"/>
    </xf>
    <xf numFmtId="0" fontId="25" fillId="9" borderId="88" xfId="0" applyFont="1" applyFill="1" applyBorder="1" applyAlignment="1">
      <alignment horizontal="center" vertical="center" wrapText="1"/>
    </xf>
    <xf numFmtId="0" fontId="25" fillId="9" borderId="91" xfId="0" applyFont="1" applyFill="1" applyBorder="1" applyAlignment="1">
      <alignment horizontal="center" vertical="center" wrapText="1"/>
    </xf>
    <xf numFmtId="0" fontId="25" fillId="9" borderId="89" xfId="0" applyFont="1" applyFill="1" applyBorder="1" applyAlignment="1">
      <alignment horizontal="center" vertical="center" wrapText="1"/>
    </xf>
    <xf numFmtId="0" fontId="25" fillId="9" borderId="85"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25" fillId="9" borderId="52" xfId="0" applyFont="1" applyFill="1" applyBorder="1" applyAlignment="1">
      <alignment horizontal="center" vertical="center" wrapText="1"/>
    </xf>
    <xf numFmtId="0" fontId="25" fillId="9" borderId="54" xfId="0" applyFont="1" applyFill="1" applyBorder="1" applyAlignment="1">
      <alignment horizontal="center" vertical="center" wrapText="1"/>
    </xf>
    <xf numFmtId="0" fontId="27" fillId="9" borderId="77" xfId="0" applyFont="1" applyFill="1" applyBorder="1" applyAlignment="1">
      <alignment horizontal="center" vertical="center" wrapText="1"/>
    </xf>
    <xf numFmtId="0" fontId="27" fillId="9" borderId="93" xfId="0" applyFont="1" applyFill="1" applyBorder="1" applyAlignment="1">
      <alignment horizontal="center" vertical="center" wrapText="1"/>
    </xf>
    <xf numFmtId="0" fontId="27" fillId="9" borderId="0" xfId="0" applyFont="1" applyFill="1" applyAlignment="1">
      <alignment horizontal="center" vertical="center" wrapText="1"/>
    </xf>
    <xf numFmtId="0" fontId="27" fillId="9" borderId="84" xfId="0" applyFont="1" applyFill="1" applyBorder="1" applyAlignment="1">
      <alignment horizontal="center" vertical="center" wrapText="1"/>
    </xf>
    <xf numFmtId="0" fontId="27" fillId="9" borderId="89" xfId="0" applyFont="1" applyFill="1" applyBorder="1" applyAlignment="1">
      <alignment horizontal="center" vertical="center" wrapText="1"/>
    </xf>
    <xf numFmtId="0" fontId="27" fillId="9" borderId="90" xfId="0" applyFont="1" applyFill="1" applyBorder="1" applyAlignment="1">
      <alignment horizontal="center" vertical="center" wrapText="1"/>
    </xf>
    <xf numFmtId="0" fontId="25" fillId="9" borderId="83" xfId="0" applyFont="1" applyFill="1" applyBorder="1" applyAlignment="1">
      <alignment horizontal="center" vertical="center" wrapText="1"/>
    </xf>
    <xf numFmtId="0" fontId="25" fillId="9" borderId="93"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5" fillId="9" borderId="47" xfId="0" applyFont="1" applyFill="1" applyBorder="1" applyAlignment="1">
      <alignment horizontal="center" vertical="center" wrapText="1"/>
    </xf>
    <xf numFmtId="0" fontId="25" fillId="9" borderId="0" xfId="0" applyFont="1" applyFill="1" applyAlignment="1">
      <alignment horizontal="center" vertical="center" wrapText="1"/>
    </xf>
    <xf numFmtId="0" fontId="25" fillId="9" borderId="95" xfId="0" applyFont="1" applyFill="1" applyBorder="1" applyAlignment="1">
      <alignment horizontal="center" vertical="center" wrapText="1"/>
    </xf>
    <xf numFmtId="0" fontId="25" fillId="9" borderId="79" xfId="0" applyFont="1" applyFill="1" applyBorder="1" applyAlignment="1">
      <alignment horizontal="center" vertical="center" wrapText="1"/>
    </xf>
    <xf numFmtId="0" fontId="27" fillId="9" borderId="87" xfId="0" applyFont="1" applyFill="1" applyBorder="1" applyAlignment="1">
      <alignment horizontal="center" vertical="center" wrapText="1"/>
    </xf>
    <xf numFmtId="0" fontId="27" fillId="9" borderId="80" xfId="0" applyFont="1" applyFill="1" applyBorder="1" applyAlignment="1">
      <alignment horizontal="center" vertical="center" wrapText="1"/>
    </xf>
    <xf numFmtId="0" fontId="27" fillId="9" borderId="82" xfId="0" applyFont="1" applyFill="1" applyBorder="1" applyAlignment="1">
      <alignment horizontal="center" vertical="center" wrapText="1"/>
    </xf>
    <xf numFmtId="0" fontId="27" fillId="9" borderId="94" xfId="0" applyFont="1" applyFill="1" applyBorder="1" applyAlignment="1">
      <alignment horizontal="center" vertical="center" wrapText="1"/>
    </xf>
    <xf numFmtId="0" fontId="16" fillId="3" borderId="0" xfId="0" applyFont="1" applyFill="1" applyAlignment="1">
      <alignment horizontal="left" vertical="top" wrapText="1"/>
    </xf>
    <xf numFmtId="0" fontId="9" fillId="5" borderId="60"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18"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51"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34" xfId="0" applyFont="1" applyFill="1" applyBorder="1" applyAlignment="1">
      <alignment horizontal="center" vertical="center"/>
    </xf>
    <xf numFmtId="0" fontId="9" fillId="5" borderId="55" xfId="0" applyFont="1" applyFill="1" applyBorder="1" applyAlignment="1">
      <alignment horizontal="center" vertical="center"/>
    </xf>
    <xf numFmtId="0" fontId="9" fillId="5" borderId="46"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40" xfId="0" applyFont="1" applyFill="1" applyBorder="1" applyAlignment="1">
      <alignment horizontal="center" vertical="center" wrapText="1"/>
    </xf>
    <xf numFmtId="0" fontId="9" fillId="5" borderId="25" xfId="0" applyFont="1" applyFill="1" applyBorder="1" applyAlignment="1">
      <alignment horizontal="center" vertical="center" wrapText="1"/>
    </xf>
  </cellXfs>
  <cellStyles count="39">
    <cellStyle name="Comma 10" xfId="23" xr:uid="{E5AE4BC2-CB03-4597-8FB2-B697BDF84064}"/>
    <cellStyle name="Comma 10 2" xfId="35" xr:uid="{098118EA-9348-4ABF-A0EA-9CD7AA581FEE}"/>
    <cellStyle name="Comma 12" xfId="33" xr:uid="{0A62DFF9-EAC8-4D19-81F7-A6906B12F082}"/>
    <cellStyle name="Comma 12 2" xfId="37" xr:uid="{1552C71D-A4C6-4537-91B0-6F3024E8EB25}"/>
    <cellStyle name="Comma 12 3" xfId="38" xr:uid="{1CCDEED4-A66D-4A3D-BFE8-B6423110F713}"/>
    <cellStyle name="Comma 2" xfId="25" xr:uid="{D1157456-97BA-489D-AECD-08EF2DD44C0D}"/>
    <cellStyle name="Comma 2 2" xfId="36" xr:uid="{53892D98-A27E-4B96-8041-391E1639D240}"/>
    <cellStyle name="Hyperlink" xfId="22" builtinId="8"/>
    <cellStyle name="Normal" xfId="0" builtinId="0"/>
    <cellStyle name="Normal 10" xfId="3" xr:uid="{27FE2EF1-7A45-4CBC-8C7E-D6E226D617FC}"/>
    <cellStyle name="Normal 10 2" xfId="12" xr:uid="{E6194463-7733-40F0-988C-C8DF0E78CD49}"/>
    <cellStyle name="Normal 11 3" xfId="32" xr:uid="{1452FFED-D675-4DF5-8CEB-4B18911B53DE}"/>
    <cellStyle name="Normal 13 2 2" xfId="16" xr:uid="{A7F437F9-DDA5-4F80-8CBC-9DB61B31B20F}"/>
    <cellStyle name="Normal 13 3" xfId="31" xr:uid="{870C101D-C6B1-4222-89EF-D21DE55CB1DA}"/>
    <cellStyle name="Normal 2 2 2" xfId="2" xr:uid="{21E96225-9435-44AD-95CB-3C2F44C08DBD}"/>
    <cellStyle name="Normal 2 2 2 2" xfId="11" xr:uid="{8E819EC6-AF12-44CE-9492-5DC15328D19F}"/>
    <cellStyle name="Normal 2 4" xfId="18" xr:uid="{AB9F697E-3278-4AF6-9C4E-1715D9DF9B70}"/>
    <cellStyle name="Normal 2 5" xfId="6" xr:uid="{532BA231-055E-486D-8AD9-87E3AC0720C1}"/>
    <cellStyle name="Normal 2 5 2 2 2 3" xfId="10" xr:uid="{E9944DCF-FFA7-4F8E-B0E0-05F7EC67814C}"/>
    <cellStyle name="Normal 2 5 2 3 2" xfId="13" xr:uid="{A741BB91-1E95-4245-BBB8-582D22FB8D7F}"/>
    <cellStyle name="Normal 2 5 2 4" xfId="9" xr:uid="{AABBF825-BD82-451E-9096-70AEB22EE0C2}"/>
    <cellStyle name="Normal 2 5 2 4 2" xfId="20" xr:uid="{71EC5C84-99CB-415D-BFD1-80502325EAE8}"/>
    <cellStyle name="Normal 2 5 3 3 2" xfId="17" xr:uid="{5E4C2D5F-3636-46DF-AF48-0B85BDC6A527}"/>
    <cellStyle name="Normal 2 5 4 2" xfId="14" xr:uid="{B9A3146C-F97D-42D6-BADC-887488A2A820}"/>
    <cellStyle name="Normal 2 5 5" xfId="8" xr:uid="{B6A4F718-A67F-4F69-BBD5-2F6E5A6836DB}"/>
    <cellStyle name="Normal 2_~0149226 2" xfId="7" xr:uid="{EFBF55AF-AFA1-45C6-9946-24810C6D620D}"/>
    <cellStyle name="Normal 3 2" xfId="24" xr:uid="{ADA1FD05-0646-4966-8624-7E09E94ADEAF}"/>
    <cellStyle name="Normal 37 2 2" xfId="15" xr:uid="{5FD0ACA6-E1C3-4DEC-9135-9DD736AFB975}"/>
    <cellStyle name="Normal 6" xfId="34" xr:uid="{C0D65BAA-E2BC-44EF-8F28-F9C86506A34A}"/>
    <cellStyle name="Normal 8" xfId="5" xr:uid="{5D6C8E02-2523-445C-9D57-D941764BA48F}"/>
    <cellStyle name="Normal 8 2" xfId="28" xr:uid="{75A7F665-BAA7-4946-8369-2BE087883352}"/>
    <cellStyle name="Normal 8 2 6 2 2" xfId="30" xr:uid="{3DDCFC3B-5208-44FB-B950-257948140C64}"/>
    <cellStyle name="Normal_ListMarketRiskParameters" xfId="21" xr:uid="{2E59DBE6-AEFA-4EB5-BE9D-270ED344E26D}"/>
    <cellStyle name="Normale 2" xfId="4" xr:uid="{8E2BE73A-5602-41DF-8A8B-E86DEB2D6E2C}"/>
    <cellStyle name="Per cent" xfId="1" builtinId="5"/>
    <cellStyle name="Percent 2" xfId="26" xr:uid="{3660EEF0-EAD3-4B3D-8657-8B77702E75FB}"/>
    <cellStyle name="Percent 3" xfId="29" xr:uid="{BDB1504D-DFC8-42BE-89E9-00E5D90EF259}"/>
    <cellStyle name="Standard 3" xfId="19" xr:uid="{A10E71ED-F277-4596-A94C-F57C82566048}"/>
    <cellStyle name="Standard 3 2 2" xfId="27" xr:uid="{91873A80-0CC2-4555-9C19-57CDB08912D0}"/>
  </cellStyles>
  <dxfs count="0"/>
  <tableStyles count="0" defaultTableStyle="TableStyleMedium2" defaultPivotStyle="PivotStyleLight16"/>
  <colors>
    <mruColors>
      <color rgb="FFF3E198"/>
      <color rgb="FF243E5E"/>
      <color rgb="FFD9D9D9"/>
      <color rgb="FFD7B017"/>
      <color rgb="FF17573A"/>
      <color rgb="FF5987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179916</xdr:rowOff>
    </xdr:from>
    <xdr:to>
      <xdr:col>2</xdr:col>
      <xdr:colOff>854286</xdr:colOff>
      <xdr:row>5</xdr:row>
      <xdr:rowOff>16760</xdr:rowOff>
    </xdr:to>
    <xdr:pic>
      <xdr:nvPicPr>
        <xdr:cNvPr id="2" name="Picture 1">
          <a:extLst>
            <a:ext uri="{FF2B5EF4-FFF2-40B4-BE49-F238E27FC236}">
              <a16:creationId xmlns:a16="http://schemas.microsoft.com/office/drawing/2014/main" id="{4A0BFD72-267C-4122-8CC6-9A7948CF0FC7}"/>
            </a:ext>
          </a:extLst>
        </xdr:cNvPr>
        <xdr:cNvPicPr>
          <a:picLocks noChangeAspect="1"/>
        </xdr:cNvPicPr>
      </xdr:nvPicPr>
      <xdr:blipFill rotWithShape="1">
        <a:blip xmlns:r="http://schemas.openxmlformats.org/officeDocument/2006/relationships" r:embed="rId1"/>
        <a:srcRect r="17921"/>
        <a:stretch/>
      </xdr:blipFill>
      <xdr:spPr>
        <a:xfrm>
          <a:off x="254000" y="179916"/>
          <a:ext cx="1852083" cy="7249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1503713</xdr:colOff>
      <xdr:row>4</xdr:row>
      <xdr:rowOff>21388</xdr:rowOff>
    </xdr:to>
    <xdr:pic>
      <xdr:nvPicPr>
        <xdr:cNvPr id="2" name="Picture 1">
          <a:extLst>
            <a:ext uri="{FF2B5EF4-FFF2-40B4-BE49-F238E27FC236}">
              <a16:creationId xmlns:a16="http://schemas.microsoft.com/office/drawing/2014/main" id="{DF1B8F4C-2A97-4BCD-B7F3-3AD8FB64F0B3}"/>
            </a:ext>
          </a:extLst>
        </xdr:cNvPr>
        <xdr:cNvPicPr>
          <a:picLocks noChangeAspect="1"/>
        </xdr:cNvPicPr>
      </xdr:nvPicPr>
      <xdr:blipFill rotWithShape="1">
        <a:blip xmlns:r="http://schemas.openxmlformats.org/officeDocument/2006/relationships" r:embed="rId1"/>
        <a:srcRect r="17921"/>
        <a:stretch/>
      </xdr:blipFill>
      <xdr:spPr>
        <a:xfrm>
          <a:off x="312420" y="175260"/>
          <a:ext cx="1503713" cy="598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1071123</xdr:colOff>
      <xdr:row>19</xdr:row>
      <xdr:rowOff>60819</xdr:rowOff>
    </xdr:to>
    <xdr:pic>
      <xdr:nvPicPr>
        <xdr:cNvPr id="3" name="Picture 2">
          <a:extLst>
            <a:ext uri="{FF2B5EF4-FFF2-40B4-BE49-F238E27FC236}">
              <a16:creationId xmlns:a16="http://schemas.microsoft.com/office/drawing/2014/main" id="{5EB74B93-031B-4876-9EE9-57FCA565A78E}"/>
            </a:ext>
          </a:extLst>
        </xdr:cNvPr>
        <xdr:cNvPicPr>
          <a:picLocks noChangeAspect="1"/>
        </xdr:cNvPicPr>
      </xdr:nvPicPr>
      <xdr:blipFill rotWithShape="1">
        <a:blip xmlns:r="http://schemas.openxmlformats.org/officeDocument/2006/relationships" r:embed="rId1"/>
        <a:srcRect r="17921"/>
        <a:stretch/>
      </xdr:blipFill>
      <xdr:spPr>
        <a:xfrm>
          <a:off x="258536" y="176893"/>
          <a:ext cx="1528535" cy="6064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FILE-9688\Expert%20Groups\Accounting%20and%20Auditing\Other%20folders\EGFI%20Workstream%20Reporting\Circulated%20papers\2009\Marco%20Burroni\Banca%20d'Italia\Documents%20and%20Settings\Administrator\Desktop\CP06revAnnex1_workinprogress.xls?EAA8E528" TargetMode="External"/><Relationship Id="rId1" Type="http://schemas.openxmlformats.org/officeDocument/2006/relationships/externalLinkPath" Target="file:///\\EAA8E528\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baonline.sharepoint.com/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reba01\EBA\Standing%20Committees\Accounting,%20Reporting%20and%20Auditing\Sub%20Groups\Reporting\BTS%20on%20reporting\Data%20point%20model\DPM%20workshop%20June\TemplateAnalysisMatrix%202012%2011%2023_LR(for%20revision).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ocuments%20and%20Settings\nlock\Local%20Settings\Temporary%20Internet%20Files\OLKB\MLAR%20Return%20with%20Validation%20ru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bvpr-fs02\userdata\Standing%20Committees\Regulation%20and%20Policy\Sub%20Groups\TF%20Leverage%20Ratio\TFLR%20Meeting%2015%20March%202012\Basel%20III%20implementation%20monitoring%20reporting%20template%20v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Grey Shaded Cells"/>
      <sheetName val="Analysis Matrix - Names"/>
      <sheetName val="Analisys Matrix - Codes"/>
      <sheetName val="Hierarchies"/>
      <sheetName val="HierarchyMembers"/>
      <sheetName val="Dimensions"/>
      <sheetName val="Members"/>
      <sheetName val="Domains"/>
      <sheetName val="Tables"/>
      <sheetName val="TableComponentMembers"/>
      <sheetName val="Hier.ApplTables"/>
      <sheetName val="Lists-Aux"/>
    </sheetNames>
    <sheetDataSet>
      <sheetData sheetId="0" refreshError="1"/>
      <sheetData sheetId="1" refreshError="1"/>
      <sheetData sheetId="2" refreshError="1"/>
      <sheetData sheetId="3" refreshError="1"/>
      <sheetData sheetId="4" refreshError="1"/>
      <sheetData sheetId="5" refreshError="1"/>
      <sheetData sheetId="6">
        <row r="2">
          <cell r="B2" t="str">
            <v>Base</v>
          </cell>
        </row>
      </sheetData>
      <sheetData sheetId="7" refreshError="1"/>
      <sheetData sheetId="8" refreshError="1"/>
      <sheetData sheetId="9" refreshError="1"/>
      <sheetData sheetId="10" refreshError="1"/>
      <sheetData sheetId="11" refreshError="1"/>
      <sheetData sheetId="12">
        <row r="1">
          <cell r="A1" t="str">
            <v>BAS</v>
          </cell>
          <cell r="J1" t="str">
            <v>CQS</v>
          </cell>
          <cell r="K1" t="str">
            <v>CT</v>
          </cell>
        </row>
        <row r="2">
          <cell r="A2" t="str">
            <v>Base items residual category - Total/NA</v>
          </cell>
          <cell r="J2" t="str">
            <v>Not applicable/ All credit quality steps</v>
          </cell>
          <cell r="K2" t="str">
            <v>Not applicable/ All counterparties</v>
          </cell>
        </row>
        <row r="3">
          <cell r="A3" t="str">
            <v>Own funds</v>
          </cell>
          <cell r="J3" t="str">
            <v>CQS 1</v>
          </cell>
          <cell r="K3" t="str">
            <v>General governments</v>
          </cell>
        </row>
        <row r="4">
          <cell r="A4" t="str">
            <v>Income</v>
          </cell>
          <cell r="J4" t="str">
            <v>CQS 2</v>
          </cell>
          <cell r="K4" t="str">
            <v>Large regulated financial entities and unregulated financial entities</v>
          </cell>
        </row>
        <row r="5">
          <cell r="A5" t="str">
            <v>Expenses</v>
          </cell>
          <cell r="J5" t="str">
            <v>CQS 3</v>
          </cell>
          <cell r="K5" t="str">
            <v>Credit institutions</v>
          </cell>
        </row>
        <row r="6">
          <cell r="A6" t="str">
            <v>Income or expenses</v>
          </cell>
          <cell r="J6" t="str">
            <v>CQS 4</v>
          </cell>
          <cell r="K6" t="str">
            <v>Counterparties other than central banks, general governments, credit institutions, other financial corporations, corporates, retail</v>
          </cell>
        </row>
        <row r="7">
          <cell r="A7" t="str">
            <v>Off balance sheet items</v>
          </cell>
          <cell r="J7" t="str">
            <v>CQS other</v>
          </cell>
          <cell r="K7" t="str">
            <v>Corporates, Retail</v>
          </cell>
        </row>
        <row r="8">
          <cell r="A8" t="str">
            <v>Memorandum items</v>
          </cell>
          <cell r="J8" t="str">
            <v>CQS 1 &amp; S/T CQS 1</v>
          </cell>
          <cell r="K8" t="str">
            <v>Corporates, Non financial</v>
          </cell>
        </row>
        <row r="9">
          <cell r="A9" t="str">
            <v>Exposures</v>
          </cell>
          <cell r="J9" t="str">
            <v>CQS 2</v>
          </cell>
          <cell r="K9" t="str">
            <v>Financial corporations. Other than credit institutions, Non-financial corporations, Households</v>
          </cell>
        </row>
        <row r="10">
          <cell r="A10" t="str">
            <v>Assets</v>
          </cell>
          <cell r="J10" t="str">
            <v>CQS 3</v>
          </cell>
          <cell r="K10" t="str">
            <v>Financial corporations. Other than credit institutions</v>
          </cell>
        </row>
        <row r="11">
          <cell r="A11" t="str">
            <v>Liabilities</v>
          </cell>
          <cell r="J11" t="str">
            <v>CQS 4 &amp; S/T CQS 2</v>
          </cell>
          <cell r="K11" t="str">
            <v>Corporates</v>
          </cell>
        </row>
        <row r="12">
          <cell r="A12" t="str">
            <v>Equity</v>
          </cell>
          <cell r="J12" t="str">
            <v>CQS 5</v>
          </cell>
          <cell r="K12" t="str">
            <v>Non-financial corporations. Retail</v>
          </cell>
        </row>
        <row r="13">
          <cell r="A13" t="str">
            <v>Liabilities and Equity</v>
          </cell>
          <cell r="J13" t="str">
            <v>CQS 6</v>
          </cell>
          <cell r="K13" t="str">
            <v>Non-financial corporations</v>
          </cell>
        </row>
        <row r="14">
          <cell r="J14" t="str">
            <v>CQS 7 &amp; S/T CQS 3</v>
          </cell>
          <cell r="K14" t="str">
            <v>Central banks</v>
          </cell>
        </row>
        <row r="15">
          <cell r="J15" t="str">
            <v>CQS 8</v>
          </cell>
          <cell r="K15" t="str">
            <v>Retail</v>
          </cell>
        </row>
        <row r="16">
          <cell r="J16" t="str">
            <v>CQS 9</v>
          </cell>
          <cell r="K16" t="str">
            <v>Other financial corporations</v>
          </cell>
        </row>
        <row r="17">
          <cell r="J17" t="str">
            <v>CQS 10</v>
          </cell>
          <cell r="K17" t="str">
            <v>Non-financial corporations. Corporates</v>
          </cell>
        </row>
        <row r="18">
          <cell r="J18" t="str">
            <v>CQS 11</v>
          </cell>
          <cell r="K18" t="str">
            <v>Default funds of complying CCPs</v>
          </cell>
        </row>
        <row r="19">
          <cell r="J19" t="str">
            <v>ALL OTHER CQS</v>
          </cell>
          <cell r="K19" t="str">
            <v>Default funds of non-complying CCPs</v>
          </cell>
        </row>
        <row r="20">
          <cell r="K20" t="str">
            <v>Financial corporations</v>
          </cell>
        </row>
        <row r="21">
          <cell r="K21" t="str">
            <v>Households. Corporates</v>
          </cell>
        </row>
        <row r="22">
          <cell r="K22" t="str">
            <v>SME</v>
          </cell>
        </row>
        <row r="23">
          <cell r="K23" t="str">
            <v>Counterparties other than SME</v>
          </cell>
        </row>
        <row r="24">
          <cell r="K24" t="str">
            <v>Central governments or central banks</v>
          </cell>
        </row>
        <row r="25">
          <cell r="K25" t="str">
            <v xml:space="preserve">Regional governments or local authorities </v>
          </cell>
        </row>
        <row r="26">
          <cell r="K26" t="str">
            <v>Public sector entities</v>
          </cell>
        </row>
        <row r="27">
          <cell r="K27" t="str">
            <v xml:space="preserve">Multilateral Development Banks </v>
          </cell>
        </row>
        <row r="28">
          <cell r="K28" t="str">
            <v>International Organisations</v>
          </cell>
        </row>
        <row r="29">
          <cell r="K29" t="str">
            <v>Institutions</v>
          </cell>
        </row>
        <row r="30">
          <cell r="K30" t="str">
            <v>Regulated financial entities not large</v>
          </cell>
        </row>
        <row r="31">
          <cell r="K31" t="str">
            <v>Financial entities</v>
          </cell>
        </row>
        <row r="32">
          <cell r="K32" t="str">
            <v>Households. Retail</v>
          </cell>
        </row>
        <row r="33">
          <cell r="K33" t="str">
            <v>Other than entities of the financial sector</v>
          </cell>
        </row>
        <row r="34">
          <cell r="K34" t="str">
            <v>Households</v>
          </cell>
        </row>
        <row r="35">
          <cell r="K35" t="str">
            <v>Counterparties other than financial corporations</v>
          </cell>
        </row>
        <row r="36">
          <cell r="K36" t="str">
            <v xml:space="preserve">Financial corporations. Other than credit institutions. Small and Medium Enterprises, Non-financial corporations. Small and Medium Enterprises, Households. Small and Medium Enterprises </v>
          </cell>
        </row>
        <row r="37">
          <cell r="K37" t="str">
            <v>Default funds</v>
          </cell>
        </row>
        <row r="38">
          <cell r="K38" t="str">
            <v>Counterparties other than central banks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 val="HEADER"/>
      <sheetName val="Section A"/>
      <sheetName val="Section B"/>
      <sheetName val="Section C"/>
      <sheetName val="Section D1"/>
      <sheetName val="Section D2"/>
      <sheetName val="Section E1"/>
      <sheetName val="Section E2"/>
      <sheetName val="Section F1"/>
      <sheetName val="Section F2"/>
      <sheetName val="Section G1"/>
      <sheetName val="Section G2"/>
      <sheetName val="Section H1"/>
      <sheetName val="Section H2"/>
      <sheetName val="Section J"/>
      <sheetName val="Drop 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 (2)"/>
      <sheetName val="General Info"/>
      <sheetName val="DefCapB3"/>
      <sheetName val="DefCapB3-MI"/>
      <sheetName val="Leverage Ratio"/>
      <sheetName val="LCR"/>
      <sheetName val="NSFR"/>
      <sheetName val="Checks"/>
      <sheetName val="Parameters"/>
      <sheetName val="Checks_(2)"/>
      <sheetName val="General_Info"/>
      <sheetName val="Leverage_Rat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E86F-38DC-4959-8B2E-AB3BB5EF98AE}">
  <sheetPr>
    <tabColor theme="0" tint="-0.499984740745262"/>
    <pageSetUpPr autoPageBreaks="0"/>
  </sheetPr>
  <dimension ref="A3:E75"/>
  <sheetViews>
    <sheetView showGridLines="0" zoomScale="80" zoomScaleNormal="80" workbookViewId="0">
      <selection activeCell="I34" sqref="I34"/>
    </sheetView>
  </sheetViews>
  <sheetFormatPr defaultRowHeight="14.5" x14ac:dyDescent="0.35"/>
  <cols>
    <col min="1" max="1" width="3.54296875" customWidth="1"/>
    <col min="2" max="2" width="14.54296875" bestFit="1" customWidth="1"/>
    <col min="3" max="3" width="42.54296875" customWidth="1"/>
    <col min="4" max="4" width="30.54296875" bestFit="1" customWidth="1"/>
    <col min="5" max="5" width="105" customWidth="1"/>
  </cols>
  <sheetData>
    <row r="3" spans="2:5" x14ac:dyDescent="0.35">
      <c r="C3" s="1" t="s">
        <v>0</v>
      </c>
      <c r="D3" s="77" t="s">
        <v>1</v>
      </c>
      <c r="E3" s="78">
        <v>46184</v>
      </c>
    </row>
    <row r="5" spans="2:5" x14ac:dyDescent="0.35">
      <c r="D5" s="77" t="s">
        <v>2</v>
      </c>
      <c r="E5" s="78">
        <v>46387</v>
      </c>
    </row>
    <row r="6" spans="2:5" ht="15" thickBot="1" x14ac:dyDescent="0.4"/>
    <row r="7" spans="2:5" ht="15" thickBot="1" x14ac:dyDescent="0.4">
      <c r="B7" s="235" t="s">
        <v>3</v>
      </c>
      <c r="C7" s="236"/>
      <c r="D7" s="236"/>
      <c r="E7" s="237"/>
    </row>
    <row r="8" spans="2:5" ht="15" thickBot="1" x14ac:dyDescent="0.4">
      <c r="B8" s="156" t="s">
        <v>4</v>
      </c>
      <c r="C8" s="157" t="s">
        <v>5</v>
      </c>
      <c r="D8" s="157" t="s">
        <v>6</v>
      </c>
      <c r="E8" s="158" t="s">
        <v>7</v>
      </c>
    </row>
    <row r="9" spans="2:5" ht="27" thickBot="1" x14ac:dyDescent="0.4">
      <c r="B9" s="79" t="s">
        <v>8</v>
      </c>
      <c r="C9" s="191" t="s">
        <v>9</v>
      </c>
      <c r="D9" s="193" t="s">
        <v>10</v>
      </c>
      <c r="E9" s="192" t="s">
        <v>947</v>
      </c>
    </row>
    <row r="10" spans="2:5" x14ac:dyDescent="0.35">
      <c r="B10" s="149" t="s">
        <v>8</v>
      </c>
      <c r="C10" s="187" t="s">
        <v>11</v>
      </c>
      <c r="D10" s="186" t="s">
        <v>12</v>
      </c>
      <c r="E10" s="189" t="s">
        <v>13</v>
      </c>
    </row>
    <row r="11" spans="2:5" x14ac:dyDescent="0.35">
      <c r="B11" s="81" t="s">
        <v>8</v>
      </c>
      <c r="C11" s="181" t="s">
        <v>11</v>
      </c>
      <c r="D11" s="80" t="s">
        <v>14</v>
      </c>
      <c r="E11" s="184" t="s">
        <v>15</v>
      </c>
    </row>
    <row r="12" spans="2:5" x14ac:dyDescent="0.35">
      <c r="B12" s="81" t="s">
        <v>8</v>
      </c>
      <c r="C12" s="181" t="s">
        <v>11</v>
      </c>
      <c r="D12" s="80" t="s">
        <v>16</v>
      </c>
      <c r="E12" s="184" t="s">
        <v>17</v>
      </c>
    </row>
    <row r="13" spans="2:5" x14ac:dyDescent="0.35">
      <c r="B13" s="81" t="s">
        <v>8</v>
      </c>
      <c r="C13" s="181" t="s">
        <v>11</v>
      </c>
      <c r="D13" s="80" t="s">
        <v>18</v>
      </c>
      <c r="E13" s="184" t="s">
        <v>19</v>
      </c>
    </row>
    <row r="14" spans="2:5" x14ac:dyDescent="0.35">
      <c r="B14" s="81" t="s">
        <v>8</v>
      </c>
      <c r="C14" s="181" t="s">
        <v>11</v>
      </c>
      <c r="D14" s="80" t="s">
        <v>20</v>
      </c>
      <c r="E14" s="184" t="s">
        <v>21</v>
      </c>
    </row>
    <row r="15" spans="2:5" x14ac:dyDescent="0.35">
      <c r="B15" s="81" t="s">
        <v>8</v>
      </c>
      <c r="C15" s="181" t="s">
        <v>11</v>
      </c>
      <c r="D15" s="80" t="s">
        <v>22</v>
      </c>
      <c r="E15" s="184" t="s">
        <v>23</v>
      </c>
    </row>
    <row r="16" spans="2:5" x14ac:dyDescent="0.35">
      <c r="B16" s="81" t="s">
        <v>8</v>
      </c>
      <c r="C16" s="181" t="s">
        <v>11</v>
      </c>
      <c r="D16" s="80" t="s">
        <v>24</v>
      </c>
      <c r="E16" s="184" t="s">
        <v>25</v>
      </c>
    </row>
    <row r="17" spans="2:5" x14ac:dyDescent="0.35">
      <c r="B17" s="81" t="s">
        <v>8</v>
      </c>
      <c r="C17" s="181" t="s">
        <v>11</v>
      </c>
      <c r="D17" s="80" t="s">
        <v>26</v>
      </c>
      <c r="E17" s="184" t="s">
        <v>27</v>
      </c>
    </row>
    <row r="18" spans="2:5" x14ac:dyDescent="0.35">
      <c r="B18" s="81" t="s">
        <v>8</v>
      </c>
      <c r="C18" s="181" t="s">
        <v>11</v>
      </c>
      <c r="D18" s="80" t="s">
        <v>28</v>
      </c>
      <c r="E18" s="184" t="s">
        <v>29</v>
      </c>
    </row>
    <row r="19" spans="2:5" x14ac:dyDescent="0.35">
      <c r="B19" s="81" t="s">
        <v>8</v>
      </c>
      <c r="C19" s="181" t="s">
        <v>11</v>
      </c>
      <c r="D19" s="80" t="s">
        <v>30</v>
      </c>
      <c r="E19" s="184" t="s">
        <v>31</v>
      </c>
    </row>
    <row r="20" spans="2:5" x14ac:dyDescent="0.35">
      <c r="B20" s="81" t="s">
        <v>8</v>
      </c>
      <c r="C20" s="181" t="s">
        <v>11</v>
      </c>
      <c r="D20" s="80" t="s">
        <v>32</v>
      </c>
      <c r="E20" s="184" t="s">
        <v>33</v>
      </c>
    </row>
    <row r="21" spans="2:5" x14ac:dyDescent="0.35">
      <c r="B21" s="81" t="s">
        <v>8</v>
      </c>
      <c r="C21" s="181" t="s">
        <v>11</v>
      </c>
      <c r="D21" s="80" t="s">
        <v>34</v>
      </c>
      <c r="E21" s="184" t="s">
        <v>35</v>
      </c>
    </row>
    <row r="22" spans="2:5" x14ac:dyDescent="0.35">
      <c r="B22" s="81" t="s">
        <v>8</v>
      </c>
      <c r="C22" s="181" t="s">
        <v>36</v>
      </c>
      <c r="D22" s="80" t="s">
        <v>37</v>
      </c>
      <c r="E22" s="184" t="s">
        <v>38</v>
      </c>
    </row>
    <row r="23" spans="2:5" x14ac:dyDescent="0.35">
      <c r="B23" s="81" t="s">
        <v>8</v>
      </c>
      <c r="C23" s="181" t="s">
        <v>36</v>
      </c>
      <c r="D23" s="80" t="s">
        <v>39</v>
      </c>
      <c r="E23" s="184" t="s">
        <v>40</v>
      </c>
    </row>
    <row r="24" spans="2:5" x14ac:dyDescent="0.35">
      <c r="B24" s="81" t="s">
        <v>8</v>
      </c>
      <c r="C24" s="181" t="s">
        <v>36</v>
      </c>
      <c r="D24" s="80" t="s">
        <v>41</v>
      </c>
      <c r="E24" s="184" t="s">
        <v>42</v>
      </c>
    </row>
    <row r="25" spans="2:5" x14ac:dyDescent="0.35">
      <c r="B25" s="81" t="s">
        <v>8</v>
      </c>
      <c r="C25" s="181" t="s">
        <v>36</v>
      </c>
      <c r="D25" s="80" t="s">
        <v>43</v>
      </c>
      <c r="E25" s="184" t="s">
        <v>44</v>
      </c>
    </row>
    <row r="26" spans="2:5" x14ac:dyDescent="0.35">
      <c r="B26" s="81" t="s">
        <v>8</v>
      </c>
      <c r="C26" s="181" t="s">
        <v>36</v>
      </c>
      <c r="D26" s="80" t="s">
        <v>45</v>
      </c>
      <c r="E26" s="184" t="s">
        <v>46</v>
      </c>
    </row>
    <row r="27" spans="2:5" x14ac:dyDescent="0.35">
      <c r="B27" s="81" t="s">
        <v>8</v>
      </c>
      <c r="C27" s="181" t="s">
        <v>36</v>
      </c>
      <c r="D27" s="80" t="s">
        <v>47</v>
      </c>
      <c r="E27" s="184" t="s">
        <v>48</v>
      </c>
    </row>
    <row r="28" spans="2:5" x14ac:dyDescent="0.35">
      <c r="B28" s="81" t="s">
        <v>8</v>
      </c>
      <c r="C28" s="181" t="s">
        <v>36</v>
      </c>
      <c r="D28" s="80" t="s">
        <v>49</v>
      </c>
      <c r="E28" s="184" t="s">
        <v>50</v>
      </c>
    </row>
    <row r="29" spans="2:5" x14ac:dyDescent="0.35">
      <c r="B29" s="81" t="s">
        <v>8</v>
      </c>
      <c r="C29" s="181" t="s">
        <v>36</v>
      </c>
      <c r="D29" s="80" t="s">
        <v>51</v>
      </c>
      <c r="E29" s="184" t="s">
        <v>52</v>
      </c>
    </row>
    <row r="30" spans="2:5" x14ac:dyDescent="0.35">
      <c r="B30" s="81" t="s">
        <v>8</v>
      </c>
      <c r="C30" s="181" t="s">
        <v>53</v>
      </c>
      <c r="D30" s="80" t="s">
        <v>54</v>
      </c>
      <c r="E30" s="184" t="s">
        <v>55</v>
      </c>
    </row>
    <row r="31" spans="2:5" x14ac:dyDescent="0.35">
      <c r="B31" s="81" t="s">
        <v>8</v>
      </c>
      <c r="C31" s="181" t="s">
        <v>53</v>
      </c>
      <c r="D31" s="80" t="s">
        <v>56</v>
      </c>
      <c r="E31" s="184" t="s">
        <v>57</v>
      </c>
    </row>
    <row r="32" spans="2:5" x14ac:dyDescent="0.35">
      <c r="B32" s="81" t="s">
        <v>8</v>
      </c>
      <c r="C32" s="181" t="s">
        <v>53</v>
      </c>
      <c r="D32" s="80" t="s">
        <v>58</v>
      </c>
      <c r="E32" s="184" t="s">
        <v>59</v>
      </c>
    </row>
    <row r="33" spans="2:5" x14ac:dyDescent="0.35">
      <c r="B33" s="81" t="s">
        <v>8</v>
      </c>
      <c r="C33" s="181" t="s">
        <v>60</v>
      </c>
      <c r="D33" s="80" t="s">
        <v>61</v>
      </c>
      <c r="E33" s="184" t="s">
        <v>62</v>
      </c>
    </row>
    <row r="34" spans="2:5" x14ac:dyDescent="0.35">
      <c r="B34" s="81" t="s">
        <v>8</v>
      </c>
      <c r="C34" s="181" t="s">
        <v>60</v>
      </c>
      <c r="D34" s="80" t="s">
        <v>63</v>
      </c>
      <c r="E34" s="184" t="s">
        <v>64</v>
      </c>
    </row>
    <row r="35" spans="2:5" x14ac:dyDescent="0.35">
      <c r="B35" s="81" t="s">
        <v>8</v>
      </c>
      <c r="C35" s="181" t="s">
        <v>65</v>
      </c>
      <c r="D35" s="80" t="s">
        <v>66</v>
      </c>
      <c r="E35" s="184" t="s">
        <v>67</v>
      </c>
    </row>
    <row r="36" spans="2:5" x14ac:dyDescent="0.35">
      <c r="B36" s="81" t="s">
        <v>8</v>
      </c>
      <c r="C36" s="181" t="s">
        <v>65</v>
      </c>
      <c r="D36" s="80" t="s">
        <v>68</v>
      </c>
      <c r="E36" s="184" t="s">
        <v>69</v>
      </c>
    </row>
    <row r="37" spans="2:5" x14ac:dyDescent="0.35">
      <c r="B37" s="81" t="s">
        <v>8</v>
      </c>
      <c r="C37" s="181" t="s">
        <v>65</v>
      </c>
      <c r="D37" s="80" t="s">
        <v>70</v>
      </c>
      <c r="E37" s="184" t="s">
        <v>71</v>
      </c>
    </row>
    <row r="38" spans="2:5" x14ac:dyDescent="0.35">
      <c r="B38" s="81" t="s">
        <v>8</v>
      </c>
      <c r="C38" s="181" t="s">
        <v>65</v>
      </c>
      <c r="D38" s="80" t="s">
        <v>72</v>
      </c>
      <c r="E38" s="184" t="s">
        <v>73</v>
      </c>
    </row>
    <row r="39" spans="2:5" x14ac:dyDescent="0.35">
      <c r="B39" s="81" t="s">
        <v>8</v>
      </c>
      <c r="C39" s="181" t="s">
        <v>65</v>
      </c>
      <c r="D39" s="80" t="s">
        <v>74</v>
      </c>
      <c r="E39" s="184" t="s">
        <v>75</v>
      </c>
    </row>
    <row r="40" spans="2:5" x14ac:dyDescent="0.35">
      <c r="B40" s="81" t="s">
        <v>8</v>
      </c>
      <c r="C40" s="181" t="s">
        <v>65</v>
      </c>
      <c r="D40" s="80" t="s">
        <v>76</v>
      </c>
      <c r="E40" s="184" t="s">
        <v>77</v>
      </c>
    </row>
    <row r="41" spans="2:5" x14ac:dyDescent="0.35">
      <c r="B41" s="81" t="s">
        <v>8</v>
      </c>
      <c r="C41" s="181" t="s">
        <v>65</v>
      </c>
      <c r="D41" s="80" t="s">
        <v>78</v>
      </c>
      <c r="E41" s="184" t="s">
        <v>79</v>
      </c>
    </row>
    <row r="42" spans="2:5" ht="15" thickBot="1" x14ac:dyDescent="0.4">
      <c r="B42" s="150" t="s">
        <v>8</v>
      </c>
      <c r="C42" s="188" t="s">
        <v>65</v>
      </c>
      <c r="D42" s="82" t="s">
        <v>80</v>
      </c>
      <c r="E42" s="190" t="s">
        <v>81</v>
      </c>
    </row>
    <row r="43" spans="2:5" x14ac:dyDescent="0.35">
      <c r="B43" s="148" t="s">
        <v>8</v>
      </c>
      <c r="C43" s="180" t="s">
        <v>82</v>
      </c>
      <c r="D43" s="186" t="s">
        <v>83</v>
      </c>
      <c r="E43" s="183" t="s">
        <v>84</v>
      </c>
    </row>
    <row r="44" spans="2:5" x14ac:dyDescent="0.35">
      <c r="B44" s="81" t="s">
        <v>8</v>
      </c>
      <c r="C44" s="181" t="s">
        <v>82</v>
      </c>
      <c r="D44" s="80" t="s">
        <v>85</v>
      </c>
      <c r="E44" s="184" t="s">
        <v>86</v>
      </c>
    </row>
    <row r="45" spans="2:5" ht="15" thickBot="1" x14ac:dyDescent="0.4">
      <c r="B45" s="151" t="s">
        <v>8</v>
      </c>
      <c r="C45" s="182" t="s">
        <v>82</v>
      </c>
      <c r="D45" s="82" t="s">
        <v>87</v>
      </c>
      <c r="E45" s="185" t="s">
        <v>88</v>
      </c>
    </row>
    <row r="46" spans="2:5" x14ac:dyDescent="0.35">
      <c r="B46" s="149" t="s">
        <v>89</v>
      </c>
      <c r="C46" s="160" t="s">
        <v>9</v>
      </c>
      <c r="D46" s="161" t="s">
        <v>90</v>
      </c>
      <c r="E46" s="162" t="s">
        <v>91</v>
      </c>
    </row>
    <row r="47" spans="2:5" x14ac:dyDescent="0.35">
      <c r="B47" s="81" t="s">
        <v>89</v>
      </c>
      <c r="C47" s="152" t="s">
        <v>11</v>
      </c>
      <c r="D47" s="80" t="s">
        <v>92</v>
      </c>
      <c r="E47" s="92" t="s">
        <v>93</v>
      </c>
    </row>
    <row r="48" spans="2:5" x14ac:dyDescent="0.35">
      <c r="B48" s="81" t="s">
        <v>89</v>
      </c>
      <c r="C48" s="152" t="s">
        <v>11</v>
      </c>
      <c r="D48" s="80" t="s">
        <v>94</v>
      </c>
      <c r="E48" s="92" t="s">
        <v>25</v>
      </c>
    </row>
    <row r="49" spans="1:5" x14ac:dyDescent="0.35">
      <c r="B49" s="81" t="s">
        <v>89</v>
      </c>
      <c r="C49" s="152" t="s">
        <v>11</v>
      </c>
      <c r="D49" s="80" t="s">
        <v>95</v>
      </c>
      <c r="E49" s="92" t="s">
        <v>96</v>
      </c>
    </row>
    <row r="50" spans="1:5" x14ac:dyDescent="0.35">
      <c r="B50" s="81" t="s">
        <v>89</v>
      </c>
      <c r="C50" s="152" t="s">
        <v>65</v>
      </c>
      <c r="D50" s="80" t="s">
        <v>97</v>
      </c>
      <c r="E50" s="92" t="s">
        <v>98</v>
      </c>
    </row>
    <row r="51" spans="1:5" x14ac:dyDescent="0.35">
      <c r="B51" s="81" t="s">
        <v>89</v>
      </c>
      <c r="C51" s="152" t="s">
        <v>65</v>
      </c>
      <c r="D51" s="80" t="s">
        <v>99</v>
      </c>
      <c r="E51" s="92" t="s">
        <v>100</v>
      </c>
    </row>
    <row r="52" spans="1:5" x14ac:dyDescent="0.35">
      <c r="B52" s="81" t="s">
        <v>89</v>
      </c>
      <c r="C52" s="152" t="s">
        <v>65</v>
      </c>
      <c r="D52" s="80" t="s">
        <v>101</v>
      </c>
      <c r="E52" s="92" t="s">
        <v>102</v>
      </c>
    </row>
    <row r="53" spans="1:5" ht="15" thickBot="1" x14ac:dyDescent="0.4">
      <c r="B53" s="151" t="s">
        <v>89</v>
      </c>
      <c r="C53" s="153" t="s">
        <v>65</v>
      </c>
      <c r="D53" s="82" t="s">
        <v>103</v>
      </c>
      <c r="E53" s="93" t="s">
        <v>104</v>
      </c>
    </row>
    <row r="55" spans="1:5" x14ac:dyDescent="0.35">
      <c r="A55" s="1" t="s">
        <v>105</v>
      </c>
    </row>
    <row r="57" spans="1:5" ht="21" x14ac:dyDescent="0.5">
      <c r="B57" s="83" t="s">
        <v>106</v>
      </c>
    </row>
    <row r="58" spans="1:5" x14ac:dyDescent="0.35">
      <c r="B58" s="2"/>
    </row>
    <row r="59" spans="1:5" x14ac:dyDescent="0.35">
      <c r="B59" s="2" t="s">
        <v>107</v>
      </c>
    </row>
    <row r="60" spans="1:5" x14ac:dyDescent="0.35">
      <c r="B60" s="2"/>
    </row>
    <row r="61" spans="1:5" x14ac:dyDescent="0.35">
      <c r="B61" s="2" t="s">
        <v>108</v>
      </c>
    </row>
    <row r="62" spans="1:5" x14ac:dyDescent="0.35">
      <c r="B62" s="2"/>
    </row>
    <row r="63" spans="1:5" x14ac:dyDescent="0.35">
      <c r="B63" s="2"/>
    </row>
    <row r="64" spans="1:5" ht="21" x14ac:dyDescent="0.5">
      <c r="B64" s="83" t="s">
        <v>109</v>
      </c>
    </row>
    <row r="65" spans="2:3" x14ac:dyDescent="0.35">
      <c r="B65" s="2"/>
    </row>
    <row r="66" spans="2:3" x14ac:dyDescent="0.35">
      <c r="B66" s="84"/>
      <c r="C66" s="2" t="s">
        <v>110</v>
      </c>
    </row>
    <row r="67" spans="2:3" x14ac:dyDescent="0.35">
      <c r="B67" s="85"/>
      <c r="C67" s="2" t="s">
        <v>111</v>
      </c>
    </row>
    <row r="68" spans="2:3" x14ac:dyDescent="0.35">
      <c r="B68" s="86"/>
      <c r="C68" s="2" t="s">
        <v>112</v>
      </c>
    </row>
    <row r="69" spans="2:3" x14ac:dyDescent="0.35">
      <c r="B69" s="87"/>
      <c r="C69" s="2" t="s">
        <v>113</v>
      </c>
    </row>
    <row r="70" spans="2:3" x14ac:dyDescent="0.35">
      <c r="B70" s="88"/>
      <c r="C70" s="2" t="s">
        <v>114</v>
      </c>
    </row>
    <row r="71" spans="2:3" x14ac:dyDescent="0.35">
      <c r="B71" s="89"/>
      <c r="C71" s="2" t="s">
        <v>115</v>
      </c>
    </row>
    <row r="72" spans="2:3" x14ac:dyDescent="0.35">
      <c r="B72" s="90"/>
      <c r="C72" s="2" t="s">
        <v>116</v>
      </c>
    </row>
    <row r="73" spans="2:3" x14ac:dyDescent="0.35">
      <c r="B73" s="91"/>
      <c r="C73" s="2" t="s">
        <v>117</v>
      </c>
    </row>
    <row r="75" spans="2:3" ht="21" x14ac:dyDescent="0.5">
      <c r="B75" s="83"/>
    </row>
  </sheetData>
  <mergeCells count="1">
    <mergeCell ref="B7:E7"/>
  </mergeCells>
  <hyperlinks>
    <hyperlink ref="D10" location="CSV_CR_SUM!A1" display="CSV_CR_SUM" xr:uid="{2778B9DD-B23B-4D23-B8E3-391B26BA171D}"/>
    <hyperlink ref="D9" location="Input!A1" display="Input" xr:uid="{80354B54-670D-4B77-8A2A-84C268921538}"/>
    <hyperlink ref="D11" location="CSV_CR_SCEN!A1" display="CSV_CR_SCEN" xr:uid="{E4052C60-926A-444C-8D37-C5D0169EFDF8}"/>
    <hyperlink ref="D13" location="CSV_CR_SECTOR!A1" display="CSV_CR_SECTOR" xr:uid="{099342F9-DF71-410F-8683-8FECD993BA1D}"/>
    <hyperlink ref="D17" location="CSV_CR_REA_STA_DET!A1" display="CSV_CR_REA_STA_DET" xr:uid="{7944FDAD-9AFF-4314-B1D3-22B1047635E5}"/>
    <hyperlink ref="D19" location="CSV_CR_REA_OF!A1" display="CSV_CR_REA_OF" xr:uid="{8A61A4C8-A225-449A-A103-08BEFDDD4376}"/>
    <hyperlink ref="D21" location="CSV_CR_REA_IRB!A1" display="CSV_CR_REA_IRB" xr:uid="{89FD816A-2F52-47D4-9465-92E9551D88F2}"/>
    <hyperlink ref="D20" location="CSV_CR_REA_STA!A1" display="CSV_CR_REA_STA" xr:uid="{C73A3266-7430-4DDA-8AA5-4BC9EC6A02FE}"/>
    <hyperlink ref="D15" location="CSV_CR_SEC_SUM!A1" display="CSV_CR_SEC_SUM" xr:uid="{582F9732-C005-450D-B0C8-B0F772EB85B3}"/>
    <hyperlink ref="D16" location="CSV_CR_SEC!A1" display="CSV_CR_SEC" xr:uid="{CF8E4531-07BE-4DAE-B71A-252CBE025F97}"/>
    <hyperlink ref="D14" location="CSV_CR_NPL!A1" display="CSV_CR_NPL" xr:uid="{B4BFB2FC-E060-4030-A6B1-92C50A009E20}"/>
    <hyperlink ref="D30" location="CSV_NII_SUM!A1" display="CSV_NII_SUM" xr:uid="{97F4C62E-7987-4EE0-B35D-DF08992D5C3A}"/>
    <hyperlink ref="D31" location="CSV_NII_CALC!A1" display="CSV_NII_CALC" xr:uid="{713227CD-ECB7-4454-90F2-51684041C70F}"/>
    <hyperlink ref="D33" location="CSV_OR_GEN!A1" display="CSV_OR_GEN" xr:uid="{500538C5-1BC2-4471-B9A4-12A38AEC9D0F}"/>
    <hyperlink ref="D34" location="CSV_OR_CON!A1" display="CSV_OR_CON" xr:uid="{AA96EC67-CF29-44EE-B8C1-538F542C1F2C}"/>
    <hyperlink ref="D35" location="CSV_REA_SUM!A1" display="CSV_REA_SUM" xr:uid="{DB8F0D3A-A474-42CF-BE7F-78EAD746F8DD}"/>
    <hyperlink ref="D36" location="CSV_NFCI_DIV!A1" display="CSV_NFCI_DIV" xr:uid="{03AB03A9-6375-4503-B971-DBB8F029D567}"/>
    <hyperlink ref="D38" location="CSV_ONEOFF!A1" display="CSV_ONEOFF" xr:uid="{EB4F3CA5-FDB6-48F5-8B0D-C23A583117B5}"/>
    <hyperlink ref="D39" location="CSV_MDA!A1" display="CSV_MDA" xr:uid="{DB484CA3-63A9-46E0-91FD-836CA0C6FE71}"/>
    <hyperlink ref="D41" location="CSV_CAP!A1" display="CSV_CAP" xr:uid="{A08CC0B1-EE2F-43EB-8C6D-5968DBFA11C6}"/>
    <hyperlink ref="D40" location="'CSV_P&amp;L'!A1" display="CSV_P&amp;L" xr:uid="{D6338DC4-706B-4F60-9BF5-AC08BF9A3D3B}"/>
    <hyperlink ref="D42" location="CSV_CAPMEAS!A1" display="CSV_CAPMEAS" xr:uid="{CD37A9A3-51AC-4A5E-A4FC-9C71F74CC0AB}"/>
    <hyperlink ref="D37" location="CSV_ADM_EXP!A1" display="CSV_ADM_EXP" xr:uid="{4282D519-A024-44DA-B969-C4342262E3CF}"/>
    <hyperlink ref="D46" location="TRA_SUM!A1" display="TRA_SUM" xr:uid="{B8021C08-2A4C-4EBC-9677-CDD4928D4162}"/>
    <hyperlink ref="D47" location="TRA_CR!A1" display="TRA_CR" xr:uid="{5040DE60-EC70-4EA4-9CAF-D1D53821C361}"/>
    <hyperlink ref="D49" location="TRA_CR_REA!A1" display="TRA_CR_REA" xr:uid="{E803093B-FBD7-4A84-B06A-02ECE29DDD8E}"/>
    <hyperlink ref="D48" location="TRA_CR_SEC!A1" display="TRA_CR_SEC" xr:uid="{E98BF87C-636C-4CBC-8810-04C241C3B73A}"/>
    <hyperlink ref="D50" location="TRA_REA!A1" display="TRA_REA" xr:uid="{F44B4201-C862-4DDC-B9EC-422D1823B9F5}"/>
    <hyperlink ref="D52" location="TRA_CAP!A1" display="TRA_CAP" xr:uid="{5587CB26-AF84-4D47-AC3A-8188DAC292A6}"/>
    <hyperlink ref="D51" location="'TRA_P&amp;L'!A1" display="TRA_P&amp;L" xr:uid="{797D3157-1740-49BE-BECA-AEA191F5481B}"/>
    <hyperlink ref="D53" location="TRA_CAPMEAS!A1" display="TRA_CAPMEAS" xr:uid="{C1C4B83C-92F7-4717-BE80-D0CDAE701188}"/>
    <hyperlink ref="D32" location="CSV_NII_CALC_FUNDING_MATCH!A1" display="CSV_NII_CALC_FUNDING MATCH" xr:uid="{261B7FD3-B1BE-4A1D-AAD1-86B9737CC476}"/>
    <hyperlink ref="D12" location="CSV_CR_SCEN_OFF_BS!A1" display="CSV_CR_SCEN_OFF_BS" xr:uid="{A22DC5DF-1B8C-4124-BCFC-67C15D0B9580}"/>
    <hyperlink ref="D18" location="CSV_CR_REA_IRB_DET!A1" display="CSV_CR_REA_IRB_DET" xr:uid="{156261B2-EF44-4195-93CE-7D140CAA2D5B}"/>
    <hyperlink ref="D22" location="CSV_MR_SUM!A1" display="CSV_MR_SUM" xr:uid="{71B2CE9C-FDD7-4F46-B5D6-1937ACB4A952}"/>
    <hyperlink ref="D23" location="CSV_MR_FULL_REVAL!A1" display="CSV_MR_FULL_REVAL" xr:uid="{D991FDA0-AAE9-44F7-BC90-83E370713025}"/>
    <hyperlink ref="D24" location="CSV_MR_FULL_REVAL_HFT!A1" display="CSV_MR_FULL_REVAL_HFT" xr:uid="{DAF948EC-32E9-4970-BADD-CB562E8BCFE2}"/>
    <hyperlink ref="D25" location="CSV_MR_RES_CVA_FVA!A1" display="CSV_MR_RES_CVA_FVA" xr:uid="{89BD8102-FF10-47CD-B21C-8508B4E522FE}"/>
    <hyperlink ref="D26" location="CSV_MR_RES_UNCERTAINTY!A1" display="CSV_MR_RES_UNCERTAINTY" xr:uid="{ABD93EDC-103F-473A-99D1-AFC0AF37BE87}"/>
    <hyperlink ref="D27" location="CSV_MR_PROJ!A1" display="CSV_MR_PROJ" xr:uid="{6F85A787-B5A9-47E0-B42A-B526EA76A50F}"/>
    <hyperlink ref="D28" location="CSV_MR_CCR!A1" display="CSV_MR_CCR" xr:uid="{0F55875E-2A0C-476C-89F1-589570357E57}"/>
    <hyperlink ref="D29" location="CSV_MR_REA!A1" display="CSV_MR_REA" xr:uid="{11117AC9-0336-46C4-8739-FAFB33C0AA87}"/>
    <hyperlink ref="D43" location="CSV_CL_SUM!A1" display="CSV_CL_SUM" xr:uid="{A105D24F-FB5A-4A25-BD97-2E8EAABA0B33}"/>
    <hyperlink ref="D45" location="CSV_CL_PR!A1" display="CSV_CL_PR" xr:uid="{43FF3E0D-B9C4-4292-8E0E-F4A92CDF5DFD}"/>
    <hyperlink ref="D44" location="CSV_CL_TR!A1" display="CSV_CL_TR" xr:uid="{226F1EAD-E6C3-4DFC-8A09-287D59428031}"/>
  </hyperlinks>
  <pageMargins left="0.70866141732283472" right="0.70866141732283472" top="0.74803149606299213" bottom="0.74803149606299213" header="0.31496062992125984" footer="0.31496062992125984"/>
  <pageSetup paperSize="9" orientation="portrait" r:id="rId1"/>
  <headerFooter>
    <evenHeader>&amp;L&amp;"Times New Roman,Regular"&amp;12&amp;K000000Central Bank of Ireland - CONFIDENTIAL</evenHeader>
    <firstHeader>&amp;L&amp;"Times New Roman,Regular"&amp;12&amp;K000000Central Bank of Ireland - CONFIDENTIAL</first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0508-CB7E-432C-A2FE-D63B585E7B8B}">
  <sheetPr>
    <tabColor theme="2"/>
    <pageSetUpPr autoPageBreaks="0"/>
  </sheetPr>
  <dimension ref="B4:AA261"/>
  <sheetViews>
    <sheetView showGridLines="0" zoomScale="70" zoomScaleNormal="70" workbookViewId="0"/>
  </sheetViews>
  <sheetFormatPr defaultColWidth="9.453125" defaultRowHeight="13" x14ac:dyDescent="0.35"/>
  <cols>
    <col min="1" max="1" width="3.54296875" style="5" customWidth="1"/>
    <col min="2" max="2" width="35.54296875" style="5" customWidth="1"/>
    <col min="3" max="3" width="55.54296875" style="5" customWidth="1"/>
    <col min="4" max="4" width="70.54296875" style="5" customWidth="1"/>
    <col min="5" max="5" width="35.453125" style="5" customWidth="1"/>
    <col min="6" max="6" width="9.453125" style="5" customWidth="1"/>
    <col min="7" max="7" width="55.54296875" style="5" customWidth="1"/>
    <col min="8" max="8" width="28.54296875" style="5" customWidth="1"/>
    <col min="9" max="9" width="10.453125" style="5" customWidth="1"/>
    <col min="10" max="10" width="9.453125" style="5" customWidth="1"/>
    <col min="11" max="11" width="51.54296875" style="5" customWidth="1"/>
    <col min="12" max="12" width="9.453125" style="5" customWidth="1"/>
    <col min="13" max="13" width="20.453125" style="6" bestFit="1" customWidth="1"/>
    <col min="14" max="14" width="9.453125" style="5"/>
    <col min="15" max="15" width="30" style="5" customWidth="1"/>
    <col min="16" max="18" width="18" style="5" customWidth="1"/>
    <col min="19" max="19" width="9.453125" style="5"/>
    <col min="20" max="20" width="11.453125" style="5" bestFit="1" customWidth="1"/>
    <col min="21" max="16384" width="9.453125" style="5"/>
  </cols>
  <sheetData>
    <row r="4" spans="2:27" ht="18" customHeight="1" x14ac:dyDescent="0.35"/>
    <row r="5" spans="2:27" x14ac:dyDescent="0.35">
      <c r="M5" s="5"/>
    </row>
    <row r="6" spans="2:27" x14ac:dyDescent="0.35">
      <c r="M6" s="5"/>
    </row>
    <row r="7" spans="2:27" ht="21.5" thickBot="1" x14ac:dyDescent="0.4">
      <c r="B7" s="7" t="s">
        <v>118</v>
      </c>
      <c r="G7" s="7" t="s">
        <v>119</v>
      </c>
      <c r="H7" s="7"/>
      <c r="I7" s="7"/>
      <c r="M7" s="5"/>
    </row>
    <row r="8" spans="2:27" ht="17.899999999999999" customHeight="1" thickBot="1" x14ac:dyDescent="0.4">
      <c r="B8" s="5" t="s">
        <v>120</v>
      </c>
      <c r="G8" s="5" t="s">
        <v>121</v>
      </c>
      <c r="H8" s="3" t="s">
        <v>122</v>
      </c>
      <c r="M8" s="5"/>
    </row>
    <row r="9" spans="2:27" ht="17.899999999999999" customHeight="1" thickBot="1" x14ac:dyDescent="0.4">
      <c r="H9" s="8" t="e">
        <f>VLOOKUP(C11,$H$12:$I$74,2,FALSE)</f>
        <v>#N/A</v>
      </c>
      <c r="M9" s="5"/>
      <c r="P9" s="238" t="s">
        <v>123</v>
      </c>
      <c r="Q9" s="239"/>
      <c r="R9" s="240"/>
    </row>
    <row r="10" spans="2:27" ht="17.899999999999999" customHeight="1" thickBot="1" x14ac:dyDescent="0.4">
      <c r="B10" s="9" t="s">
        <v>124</v>
      </c>
      <c r="C10" s="10" t="s">
        <v>125</v>
      </c>
      <c r="G10" s="11" t="s">
        <v>126</v>
      </c>
      <c r="H10" s="12" t="s">
        <v>127</v>
      </c>
      <c r="I10" s="11" t="s">
        <v>128</v>
      </c>
      <c r="K10" s="11" t="s">
        <v>129</v>
      </c>
      <c r="M10" s="11" t="s">
        <v>130</v>
      </c>
      <c r="O10" s="11" t="s">
        <v>130</v>
      </c>
      <c r="P10" s="3">
        <v>2027</v>
      </c>
      <c r="Q10" s="3">
        <v>2028</v>
      </c>
      <c r="R10" s="3">
        <v>2029</v>
      </c>
    </row>
    <row r="11" spans="2:27" ht="17.899999999999999" customHeight="1" thickBot="1" x14ac:dyDescent="0.4">
      <c r="B11" s="13" t="s">
        <v>131</v>
      </c>
      <c r="C11" s="14" t="str">
        <f>VLOOKUP(C10,G11:H74,2,FALSE)</f>
        <v xml:space="preserve"> </v>
      </c>
      <c r="E11"/>
      <c r="G11" s="15" t="s">
        <v>125</v>
      </c>
      <c r="H11" s="16" t="s">
        <v>132</v>
      </c>
      <c r="I11" s="16"/>
      <c r="K11" s="20" t="s">
        <v>133</v>
      </c>
      <c r="M11" s="18" t="s">
        <v>134</v>
      </c>
      <c r="O11" s="18" t="s">
        <v>134</v>
      </c>
      <c r="P11" s="154"/>
      <c r="Q11" s="154"/>
      <c r="R11" s="154"/>
      <c r="S11" s="19"/>
      <c r="T11" s="19"/>
      <c r="U11" s="19"/>
      <c r="V11" s="19"/>
      <c r="W11" s="19"/>
    </row>
    <row r="12" spans="2:27" ht="17.899999999999999" customHeight="1" thickBot="1" x14ac:dyDescent="0.4">
      <c r="E12"/>
      <c r="G12" s="20" t="s">
        <v>135</v>
      </c>
      <c r="H12" s="20" t="s">
        <v>136</v>
      </c>
      <c r="I12" s="20" t="s">
        <v>137</v>
      </c>
      <c r="K12" s="20" t="s">
        <v>138</v>
      </c>
      <c r="M12" s="21" t="s">
        <v>139</v>
      </c>
      <c r="O12" s="21" t="s">
        <v>139</v>
      </c>
      <c r="P12" s="155"/>
      <c r="Q12" s="155"/>
      <c r="R12" s="155"/>
      <c r="S12" s="19"/>
      <c r="T12" s="19"/>
      <c r="U12" s="19"/>
      <c r="V12" s="19"/>
      <c r="W12" s="19"/>
    </row>
    <row r="13" spans="2:27" ht="17.899999999999999" customHeight="1" thickBot="1" x14ac:dyDescent="0.4">
      <c r="B13" s="23" t="s">
        <v>140</v>
      </c>
      <c r="C13" s="24" t="s">
        <v>141</v>
      </c>
      <c r="D13" s="25" t="s">
        <v>142</v>
      </c>
      <c r="G13" s="20" t="s">
        <v>143</v>
      </c>
      <c r="H13" s="20" t="s">
        <v>144</v>
      </c>
      <c r="I13" s="20" t="s">
        <v>145</v>
      </c>
      <c r="K13" s="20" t="s">
        <v>146</v>
      </c>
      <c r="M13" s="21" t="s">
        <v>147</v>
      </c>
      <c r="O13" s="21" t="s">
        <v>147</v>
      </c>
      <c r="P13" s="155"/>
      <c r="Q13" s="155"/>
      <c r="R13" s="155"/>
      <c r="S13" s="19"/>
      <c r="T13" s="19"/>
      <c r="U13" s="19"/>
      <c r="V13" s="19"/>
      <c r="W13" s="19"/>
      <c r="X13" s="19"/>
    </row>
    <row r="14" spans="2:27" ht="17.899999999999999" customHeight="1" x14ac:dyDescent="0.35">
      <c r="B14" s="26" t="s">
        <v>148</v>
      </c>
      <c r="C14" s="174"/>
      <c r="D14" s="27">
        <f t="shared" ref="D14:D23" si="0">IF(ISERROR(VLOOKUP(C14,$C$39:$C$58,1,FALSE))=FALSE,"",C14)</f>
        <v>0</v>
      </c>
      <c r="G14" s="20" t="s">
        <v>149</v>
      </c>
      <c r="H14" s="20" t="s">
        <v>150</v>
      </c>
      <c r="I14" s="20" t="s">
        <v>151</v>
      </c>
      <c r="K14" s="20" t="s">
        <v>152</v>
      </c>
      <c r="M14" s="21" t="s">
        <v>153</v>
      </c>
      <c r="O14" s="21" t="s">
        <v>153</v>
      </c>
      <c r="P14" s="155"/>
      <c r="Q14" s="155"/>
      <c r="R14" s="155"/>
      <c r="S14" s="19"/>
      <c r="T14" s="19"/>
      <c r="U14" s="19"/>
      <c r="V14" s="19"/>
      <c r="W14" s="19"/>
      <c r="X14" s="19"/>
    </row>
    <row r="15" spans="2:27" ht="17.899999999999999" customHeight="1" x14ac:dyDescent="0.35">
      <c r="B15" s="28" t="s">
        <v>154</v>
      </c>
      <c r="C15" s="174"/>
      <c r="D15" s="27">
        <f t="shared" si="0"/>
        <v>0</v>
      </c>
      <c r="E15"/>
      <c r="G15" s="20" t="s">
        <v>155</v>
      </c>
      <c r="H15" s="20" t="s">
        <v>156</v>
      </c>
      <c r="I15" s="20" t="s">
        <v>157</v>
      </c>
      <c r="K15" s="20" t="s">
        <v>158</v>
      </c>
      <c r="M15" s="21" t="s">
        <v>159</v>
      </c>
      <c r="O15" s="21" t="s">
        <v>159</v>
      </c>
      <c r="P15" s="155"/>
      <c r="Q15" s="155"/>
      <c r="R15" s="155"/>
      <c r="S15" s="19"/>
      <c r="T15" s="19"/>
      <c r="U15" s="19"/>
      <c r="V15" s="19"/>
      <c r="W15" s="19"/>
      <c r="X15" s="19"/>
    </row>
    <row r="16" spans="2:27" ht="17.899999999999999" customHeight="1" x14ac:dyDescent="0.35">
      <c r="B16" s="28" t="s">
        <v>160</v>
      </c>
      <c r="C16" s="174"/>
      <c r="D16" s="27">
        <f t="shared" si="0"/>
        <v>0</v>
      </c>
      <c r="E16"/>
      <c r="G16" s="20" t="s">
        <v>161</v>
      </c>
      <c r="H16" s="20" t="s">
        <v>162</v>
      </c>
      <c r="I16" s="20" t="s">
        <v>163</v>
      </c>
      <c r="K16" s="20" t="s">
        <v>164</v>
      </c>
      <c r="M16" s="21" t="s">
        <v>165</v>
      </c>
      <c r="O16" s="21" t="s">
        <v>165</v>
      </c>
      <c r="P16" s="155"/>
      <c r="Q16" s="155"/>
      <c r="R16" s="155"/>
      <c r="S16" s="19"/>
      <c r="T16" s="19"/>
      <c r="U16" s="19"/>
      <c r="V16" s="19"/>
      <c r="W16" s="19"/>
      <c r="X16" s="19"/>
      <c r="Y16" s="29"/>
      <c r="Z16" s="29"/>
      <c r="AA16" s="29"/>
    </row>
    <row r="17" spans="2:27" ht="17.899999999999999" customHeight="1" x14ac:dyDescent="0.35">
      <c r="B17" s="28" t="s">
        <v>166</v>
      </c>
      <c r="C17" s="174"/>
      <c r="D17" s="27">
        <f t="shared" si="0"/>
        <v>0</v>
      </c>
      <c r="E17"/>
      <c r="G17" s="20" t="s">
        <v>167</v>
      </c>
      <c r="H17" s="20" t="s">
        <v>168</v>
      </c>
      <c r="I17" s="20" t="s">
        <v>169</v>
      </c>
      <c r="K17" s="20" t="s">
        <v>170</v>
      </c>
      <c r="M17" s="21" t="s">
        <v>171</v>
      </c>
      <c r="O17" s="21" t="s">
        <v>171</v>
      </c>
      <c r="P17" s="155"/>
      <c r="Q17" s="155"/>
      <c r="R17" s="155"/>
      <c r="S17" s="19"/>
      <c r="T17" s="19"/>
      <c r="U17" s="19"/>
      <c r="V17" s="19"/>
      <c r="W17" s="19"/>
      <c r="X17" s="19"/>
      <c r="Y17" s="29"/>
      <c r="Z17" s="29"/>
      <c r="AA17" s="29"/>
    </row>
    <row r="18" spans="2:27" ht="17.899999999999999" customHeight="1" x14ac:dyDescent="0.35">
      <c r="B18" s="28" t="s">
        <v>172</v>
      </c>
      <c r="C18" s="174"/>
      <c r="D18" s="27">
        <f t="shared" si="0"/>
        <v>0</v>
      </c>
      <c r="E18"/>
      <c r="G18" s="20" t="s">
        <v>173</v>
      </c>
      <c r="H18" s="20" t="s">
        <v>174</v>
      </c>
      <c r="I18" s="20" t="s">
        <v>157</v>
      </c>
      <c r="K18" s="20" t="s">
        <v>175</v>
      </c>
      <c r="M18" s="21" t="s">
        <v>176</v>
      </c>
      <c r="O18" s="21" t="s">
        <v>176</v>
      </c>
      <c r="P18" s="155"/>
      <c r="Q18" s="155"/>
      <c r="R18" s="155"/>
      <c r="S18" s="19"/>
      <c r="T18" s="19"/>
      <c r="U18" s="19"/>
      <c r="V18" s="19"/>
      <c r="W18" s="19"/>
      <c r="X18" s="19"/>
      <c r="Y18" s="29"/>
      <c r="Z18" s="29"/>
      <c r="AA18" s="29"/>
    </row>
    <row r="19" spans="2:27" ht="17.899999999999999" customHeight="1" x14ac:dyDescent="0.35">
      <c r="B19" s="28" t="s">
        <v>177</v>
      </c>
      <c r="C19" s="174"/>
      <c r="D19" s="27">
        <f t="shared" si="0"/>
        <v>0</v>
      </c>
      <c r="E19"/>
      <c r="G19" s="20" t="s">
        <v>178</v>
      </c>
      <c r="H19" s="20" t="s">
        <v>179</v>
      </c>
      <c r="I19" s="20" t="s">
        <v>180</v>
      </c>
      <c r="K19" s="20" t="s">
        <v>181</v>
      </c>
      <c r="M19" s="21" t="s">
        <v>182</v>
      </c>
      <c r="O19" s="21" t="s">
        <v>182</v>
      </c>
      <c r="P19" s="155"/>
      <c r="Q19" s="155"/>
      <c r="R19" s="155"/>
      <c r="S19" s="19"/>
      <c r="T19" s="19"/>
      <c r="U19" s="19"/>
      <c r="V19" s="19"/>
      <c r="W19" s="19"/>
      <c r="X19" s="19"/>
      <c r="Y19" s="29"/>
      <c r="Z19" s="29"/>
      <c r="AA19" s="29"/>
    </row>
    <row r="20" spans="2:27" ht="17.899999999999999" customHeight="1" x14ac:dyDescent="0.35">
      <c r="B20" s="28" t="s">
        <v>183</v>
      </c>
      <c r="C20" s="174"/>
      <c r="D20" s="27">
        <f t="shared" si="0"/>
        <v>0</v>
      </c>
      <c r="E20"/>
      <c r="G20" s="20" t="s">
        <v>184</v>
      </c>
      <c r="H20" s="20" t="s">
        <v>185</v>
      </c>
      <c r="I20" s="20" t="s">
        <v>169</v>
      </c>
      <c r="K20" s="20" t="s">
        <v>186</v>
      </c>
      <c r="M20" s="21" t="s">
        <v>187</v>
      </c>
      <c r="O20" s="21" t="s">
        <v>187</v>
      </c>
      <c r="P20" s="155"/>
      <c r="Q20" s="155"/>
      <c r="R20" s="155"/>
      <c r="S20" s="19"/>
      <c r="T20" s="19"/>
      <c r="U20" s="19"/>
      <c r="V20" s="19"/>
      <c r="W20" s="19"/>
      <c r="X20" s="19"/>
      <c r="Y20" s="29"/>
      <c r="Z20" s="29"/>
      <c r="AA20" s="29"/>
    </row>
    <row r="21" spans="2:27" ht="17.899999999999999" customHeight="1" x14ac:dyDescent="0.35">
      <c r="B21" s="28" t="s">
        <v>188</v>
      </c>
      <c r="C21" s="174"/>
      <c r="D21" s="27">
        <f t="shared" si="0"/>
        <v>0</v>
      </c>
      <c r="E21"/>
      <c r="G21" s="20" t="s">
        <v>189</v>
      </c>
      <c r="H21" s="20" t="s">
        <v>190</v>
      </c>
      <c r="I21" s="20" t="s">
        <v>169</v>
      </c>
      <c r="K21" s="20" t="s">
        <v>191</v>
      </c>
      <c r="M21" s="21" t="s">
        <v>192</v>
      </c>
      <c r="O21" s="21" t="s">
        <v>192</v>
      </c>
      <c r="P21" s="155"/>
      <c r="Q21" s="155"/>
      <c r="R21" s="155"/>
      <c r="S21" s="19"/>
      <c r="T21" s="19"/>
      <c r="U21" s="19"/>
      <c r="V21" s="19"/>
      <c r="W21" s="19"/>
      <c r="X21" s="19"/>
      <c r="Y21" s="29"/>
      <c r="Z21" s="29"/>
      <c r="AA21" s="29"/>
    </row>
    <row r="22" spans="2:27" ht="17.899999999999999" customHeight="1" x14ac:dyDescent="0.35">
      <c r="B22" s="28" t="s">
        <v>193</v>
      </c>
      <c r="C22" s="174"/>
      <c r="D22" s="27">
        <f t="shared" si="0"/>
        <v>0</v>
      </c>
      <c r="E22"/>
      <c r="G22" s="20" t="s">
        <v>197</v>
      </c>
      <c r="H22" s="20" t="s">
        <v>198</v>
      </c>
      <c r="I22" s="20" t="s">
        <v>145</v>
      </c>
      <c r="K22" s="20" t="s">
        <v>194</v>
      </c>
      <c r="M22" s="21" t="s">
        <v>195</v>
      </c>
      <c r="O22" s="21" t="s">
        <v>195</v>
      </c>
      <c r="P22" s="155"/>
      <c r="Q22" s="155"/>
      <c r="R22" s="155"/>
      <c r="S22" s="19"/>
      <c r="T22" s="19"/>
      <c r="U22" s="19"/>
      <c r="V22" s="19"/>
      <c r="W22" s="19"/>
      <c r="X22" s="19"/>
      <c r="Y22" s="29"/>
      <c r="Z22" s="29"/>
      <c r="AA22" s="29"/>
    </row>
    <row r="23" spans="2:27" ht="17.899999999999999" customHeight="1" thickBot="1" x14ac:dyDescent="0.4">
      <c r="B23" s="30" t="s">
        <v>196</v>
      </c>
      <c r="C23" s="175"/>
      <c r="D23" s="27">
        <f t="shared" si="0"/>
        <v>0</v>
      </c>
      <c r="E23"/>
      <c r="G23" s="20" t="s">
        <v>203</v>
      </c>
      <c r="H23" s="20" t="s">
        <v>204</v>
      </c>
      <c r="I23" s="20" t="s">
        <v>205</v>
      </c>
      <c r="K23" s="20" t="s">
        <v>199</v>
      </c>
      <c r="M23" s="21" t="s">
        <v>200</v>
      </c>
      <c r="O23" s="21" t="s">
        <v>200</v>
      </c>
      <c r="P23" s="155"/>
      <c r="Q23" s="155"/>
      <c r="R23" s="155"/>
      <c r="S23" s="19"/>
      <c r="T23" s="19"/>
      <c r="U23" s="19"/>
      <c r="V23" s="19"/>
      <c r="W23" s="19"/>
      <c r="X23" s="19"/>
      <c r="Y23" s="29"/>
      <c r="Z23" s="29"/>
      <c r="AA23" s="29"/>
    </row>
    <row r="24" spans="2:27" ht="17.899999999999999" customHeight="1" thickBot="1" x14ac:dyDescent="0.4">
      <c r="B24" s="12" t="s">
        <v>201</v>
      </c>
      <c r="C24" s="94"/>
      <c r="D24" s="31" t="s">
        <v>202</v>
      </c>
      <c r="E24"/>
      <c r="G24" s="20" t="s">
        <v>208</v>
      </c>
      <c r="H24" s="20" t="s">
        <v>209</v>
      </c>
      <c r="I24" s="20" t="s">
        <v>169</v>
      </c>
      <c r="K24" s="20" t="s">
        <v>206</v>
      </c>
      <c r="M24" s="21" t="s">
        <v>207</v>
      </c>
      <c r="O24" s="21" t="s">
        <v>207</v>
      </c>
      <c r="P24" s="40">
        <f>$P$54</f>
        <v>0</v>
      </c>
      <c r="Q24" s="40">
        <f>$Q$54</f>
        <v>0</v>
      </c>
      <c r="R24" s="40">
        <f>$R$54</f>
        <v>0</v>
      </c>
      <c r="S24" s="19"/>
      <c r="T24" s="19"/>
      <c r="U24" s="19"/>
      <c r="V24" s="19"/>
      <c r="W24" s="19"/>
      <c r="X24" s="19"/>
      <c r="Y24" s="29"/>
      <c r="Z24" s="29"/>
      <c r="AA24" s="29"/>
    </row>
    <row r="25" spans="2:27" ht="17.899999999999999" customHeight="1" thickBot="1" x14ac:dyDescent="0.4">
      <c r="B25" s="159"/>
      <c r="C25" s="172"/>
      <c r="D25" s="173"/>
      <c r="E25"/>
      <c r="G25" s="20" t="s">
        <v>919</v>
      </c>
      <c r="H25" s="20" t="s">
        <v>214</v>
      </c>
      <c r="I25" s="20" t="s">
        <v>145</v>
      </c>
      <c r="K25" s="20" t="s">
        <v>210</v>
      </c>
      <c r="M25" s="21" t="s">
        <v>211</v>
      </c>
      <c r="O25" s="21" t="s">
        <v>211</v>
      </c>
      <c r="P25" s="155"/>
      <c r="Q25" s="155"/>
      <c r="R25" s="155"/>
      <c r="S25" s="19"/>
      <c r="T25" s="19"/>
      <c r="U25" s="19"/>
      <c r="V25" s="19"/>
      <c r="W25" s="19"/>
      <c r="X25" s="19"/>
      <c r="Y25" s="29"/>
      <c r="Z25" s="29"/>
      <c r="AA25" s="29"/>
    </row>
    <row r="26" spans="2:27" ht="17.899999999999999" customHeight="1" thickBot="1" x14ac:dyDescent="0.4">
      <c r="B26" s="23" t="s">
        <v>212</v>
      </c>
      <c r="C26" s="65" t="s">
        <v>213</v>
      </c>
      <c r="D26" s="173"/>
      <c r="E26"/>
      <c r="G26" s="20" t="s">
        <v>217</v>
      </c>
      <c r="H26" s="20" t="s">
        <v>218</v>
      </c>
      <c r="I26" s="20" t="s">
        <v>219</v>
      </c>
      <c r="K26" s="20" t="s">
        <v>215</v>
      </c>
      <c r="M26" s="21" t="s">
        <v>216</v>
      </c>
      <c r="O26" s="21" t="s">
        <v>216</v>
      </c>
      <c r="P26" s="155"/>
      <c r="Q26" s="155"/>
      <c r="R26" s="155"/>
      <c r="S26" s="19"/>
      <c r="T26" s="19"/>
      <c r="U26" s="19"/>
      <c r="V26" s="19"/>
      <c r="W26" s="19"/>
      <c r="X26" s="19"/>
      <c r="Y26" s="29"/>
      <c r="Z26" s="29"/>
      <c r="AA26" s="29"/>
    </row>
    <row r="27" spans="2:27" ht="17.899999999999999" customHeight="1" x14ac:dyDescent="0.35">
      <c r="B27" s="26" t="s">
        <v>148</v>
      </c>
      <c r="C27" s="176"/>
      <c r="D27" s="173"/>
      <c r="E27"/>
      <c r="G27" s="20" t="s">
        <v>222</v>
      </c>
      <c r="H27" s="20" t="s">
        <v>223</v>
      </c>
      <c r="I27" s="20" t="s">
        <v>224</v>
      </c>
      <c r="K27" s="20" t="s">
        <v>220</v>
      </c>
      <c r="M27" s="21" t="s">
        <v>221</v>
      </c>
      <c r="O27" s="21" t="s">
        <v>221</v>
      </c>
      <c r="P27" s="155"/>
      <c r="Q27" s="155"/>
      <c r="R27" s="155"/>
      <c r="S27" s="19"/>
      <c r="T27" s="19"/>
      <c r="U27" s="19"/>
      <c r="V27" s="19"/>
      <c r="W27" s="19"/>
      <c r="X27" s="19"/>
      <c r="Y27" s="29"/>
      <c r="Z27" s="29"/>
      <c r="AA27" s="29"/>
    </row>
    <row r="28" spans="2:27" ht="17.899999999999999" customHeight="1" x14ac:dyDescent="0.35">
      <c r="B28" s="28" t="s">
        <v>154</v>
      </c>
      <c r="C28" s="176"/>
      <c r="D28" s="173"/>
      <c r="E28"/>
      <c r="G28" s="20" t="s">
        <v>920</v>
      </c>
      <c r="H28" s="20" t="s">
        <v>227</v>
      </c>
      <c r="I28" s="20" t="s">
        <v>228</v>
      </c>
      <c r="K28" s="20" t="s">
        <v>225</v>
      </c>
      <c r="M28" s="21" t="s">
        <v>226</v>
      </c>
      <c r="O28" s="21" t="s">
        <v>226</v>
      </c>
      <c r="P28" s="155"/>
      <c r="Q28" s="155"/>
      <c r="R28" s="155"/>
      <c r="S28" s="19"/>
      <c r="T28" s="19"/>
      <c r="U28" s="19"/>
      <c r="V28" s="19"/>
      <c r="W28" s="19"/>
      <c r="X28" s="19"/>
      <c r="Y28" s="29"/>
      <c r="Z28" s="29"/>
      <c r="AA28" s="29"/>
    </row>
    <row r="29" spans="2:27" ht="17.899999999999999" customHeight="1" x14ac:dyDescent="0.35">
      <c r="B29" s="28" t="s">
        <v>160</v>
      </c>
      <c r="C29" s="176"/>
      <c r="D29" s="173"/>
      <c r="E29"/>
      <c r="G29" s="20" t="s">
        <v>921</v>
      </c>
      <c r="H29" s="20" t="s">
        <v>233</v>
      </c>
      <c r="I29" s="20" t="s">
        <v>157</v>
      </c>
      <c r="K29" s="20" t="s">
        <v>229</v>
      </c>
      <c r="M29" s="21" t="s">
        <v>230</v>
      </c>
      <c r="O29" s="21" t="s">
        <v>230</v>
      </c>
      <c r="P29" s="155"/>
      <c r="Q29" s="155"/>
      <c r="R29" s="155"/>
      <c r="S29" s="19"/>
      <c r="T29" s="19"/>
      <c r="U29" s="19"/>
      <c r="V29" s="19"/>
      <c r="W29" s="19"/>
      <c r="X29" s="19"/>
      <c r="Y29" s="29"/>
      <c r="Z29" s="29"/>
      <c r="AA29" s="29"/>
    </row>
    <row r="30" spans="2:27" ht="17.899999999999999" customHeight="1" x14ac:dyDescent="0.35">
      <c r="B30" s="28" t="s">
        <v>166</v>
      </c>
      <c r="C30" s="176"/>
      <c r="D30" s="173"/>
      <c r="E30"/>
      <c r="G30" s="20" t="s">
        <v>922</v>
      </c>
      <c r="H30" s="20" t="s">
        <v>236</v>
      </c>
      <c r="I30" s="20" t="s">
        <v>180</v>
      </c>
      <c r="K30" s="20" t="s">
        <v>231</v>
      </c>
      <c r="M30" s="21" t="s">
        <v>232</v>
      </c>
      <c r="O30" s="21" t="s">
        <v>232</v>
      </c>
      <c r="P30" s="155"/>
      <c r="Q30" s="155"/>
      <c r="R30" s="155"/>
      <c r="S30" s="19"/>
      <c r="T30" s="19"/>
      <c r="U30" s="19"/>
      <c r="V30" s="19"/>
      <c r="W30" s="19"/>
      <c r="X30" s="19"/>
      <c r="Y30" s="29"/>
      <c r="Z30" s="29"/>
      <c r="AA30" s="29"/>
    </row>
    <row r="31" spans="2:27" ht="17.899999999999999" customHeight="1" x14ac:dyDescent="0.35">
      <c r="B31" s="28" t="s">
        <v>172</v>
      </c>
      <c r="C31" s="176"/>
      <c r="D31" s="173"/>
      <c r="E31"/>
      <c r="G31" s="20" t="s">
        <v>923</v>
      </c>
      <c r="H31" s="20" t="s">
        <v>239</v>
      </c>
      <c r="I31" s="20" t="s">
        <v>169</v>
      </c>
      <c r="K31" s="20" t="s">
        <v>234</v>
      </c>
      <c r="M31" s="21" t="s">
        <v>235</v>
      </c>
      <c r="O31" s="21" t="s">
        <v>235</v>
      </c>
      <c r="P31" s="155"/>
      <c r="Q31" s="155"/>
      <c r="R31" s="155"/>
      <c r="S31" s="19"/>
      <c r="T31" s="19"/>
      <c r="U31" s="19"/>
      <c r="V31" s="19"/>
      <c r="W31" s="19"/>
      <c r="X31" s="19"/>
      <c r="Y31" s="29"/>
      <c r="Z31" s="29"/>
      <c r="AA31" s="29"/>
    </row>
    <row r="32" spans="2:27" ht="17.899999999999999" customHeight="1" x14ac:dyDescent="0.35">
      <c r="B32" s="28" t="s">
        <v>177</v>
      </c>
      <c r="C32" s="176"/>
      <c r="D32" s="173"/>
      <c r="E32"/>
      <c r="G32" s="20" t="s">
        <v>242</v>
      </c>
      <c r="H32" s="20" t="s">
        <v>243</v>
      </c>
      <c r="I32" s="20" t="s">
        <v>145</v>
      </c>
      <c r="K32" s="20" t="s">
        <v>237</v>
      </c>
      <c r="M32" s="21" t="s">
        <v>238</v>
      </c>
      <c r="O32" s="21" t="s">
        <v>238</v>
      </c>
      <c r="P32" s="155"/>
      <c r="Q32" s="155"/>
      <c r="R32" s="155"/>
      <c r="S32" s="19"/>
      <c r="T32" s="19"/>
      <c r="U32" s="19"/>
      <c r="V32" s="19"/>
      <c r="W32" s="19"/>
      <c r="X32" s="19"/>
      <c r="Y32" s="29"/>
      <c r="Z32" s="29"/>
      <c r="AA32" s="29"/>
    </row>
    <row r="33" spans="2:27" ht="17.899999999999999" customHeight="1" x14ac:dyDescent="0.35">
      <c r="B33" s="28" t="s">
        <v>183</v>
      </c>
      <c r="C33" s="176"/>
      <c r="D33" s="173"/>
      <c r="E33"/>
      <c r="G33" s="20" t="s">
        <v>248</v>
      </c>
      <c r="H33" s="20" t="s">
        <v>249</v>
      </c>
      <c r="I33" s="20" t="s">
        <v>219</v>
      </c>
      <c r="K33" s="20" t="s">
        <v>240</v>
      </c>
      <c r="M33" s="21" t="s">
        <v>241</v>
      </c>
      <c r="O33" s="21" t="s">
        <v>241</v>
      </c>
      <c r="P33" s="155"/>
      <c r="Q33" s="155"/>
      <c r="R33" s="155"/>
      <c r="S33" s="19"/>
      <c r="T33" s="19"/>
      <c r="U33" s="19"/>
      <c r="V33" s="19"/>
      <c r="W33" s="19"/>
      <c r="X33" s="19"/>
      <c r="Y33" s="29"/>
      <c r="Z33" s="29"/>
      <c r="AA33" s="29"/>
    </row>
    <row r="34" spans="2:27" ht="17.899999999999999" customHeight="1" x14ac:dyDescent="0.35">
      <c r="B34" s="28" t="s">
        <v>188</v>
      </c>
      <c r="C34" s="176"/>
      <c r="D34" s="173"/>
      <c r="E34"/>
      <c r="G34" s="20" t="s">
        <v>252</v>
      </c>
      <c r="H34" s="20" t="s">
        <v>253</v>
      </c>
      <c r="I34" s="20" t="s">
        <v>228</v>
      </c>
      <c r="K34" s="20" t="s">
        <v>244</v>
      </c>
      <c r="M34" s="21" t="s">
        <v>245</v>
      </c>
      <c r="O34" s="21" t="s">
        <v>245</v>
      </c>
      <c r="P34" s="155"/>
      <c r="Q34" s="155"/>
      <c r="R34" s="155"/>
      <c r="S34" s="19"/>
      <c r="T34" s="19"/>
      <c r="U34" s="19"/>
      <c r="V34" s="19"/>
      <c r="W34" s="19"/>
      <c r="X34" s="19"/>
      <c r="Y34" s="29"/>
      <c r="Z34" s="29"/>
      <c r="AA34" s="29"/>
    </row>
    <row r="35" spans="2:27" ht="17.899999999999999" customHeight="1" x14ac:dyDescent="0.35">
      <c r="B35" s="28" t="s">
        <v>193</v>
      </c>
      <c r="C35" s="176"/>
      <c r="D35" s="173"/>
      <c r="E35"/>
      <c r="G35" s="20" t="s">
        <v>257</v>
      </c>
      <c r="H35" s="20" t="s">
        <v>258</v>
      </c>
      <c r="I35" s="20" t="s">
        <v>137</v>
      </c>
      <c r="K35" s="20" t="s">
        <v>246</v>
      </c>
      <c r="M35" s="21" t="s">
        <v>247</v>
      </c>
      <c r="O35" s="21" t="s">
        <v>247</v>
      </c>
      <c r="P35" s="155"/>
      <c r="Q35" s="155"/>
      <c r="R35" s="155"/>
      <c r="S35" s="19"/>
      <c r="T35" s="19"/>
      <c r="U35" s="19"/>
      <c r="V35" s="19"/>
      <c r="W35" s="19"/>
      <c r="X35" s="19"/>
      <c r="Y35" s="29"/>
      <c r="Z35" s="29"/>
      <c r="AA35" s="29"/>
    </row>
    <row r="36" spans="2:27" ht="17.899999999999999" customHeight="1" thickBot="1" x14ac:dyDescent="0.4">
      <c r="B36" s="30" t="s">
        <v>196</v>
      </c>
      <c r="C36" s="177"/>
      <c r="D36" s="173"/>
      <c r="E36"/>
      <c r="G36" s="20" t="s">
        <v>262</v>
      </c>
      <c r="H36" s="20" t="s">
        <v>263</v>
      </c>
      <c r="I36" s="20" t="s">
        <v>264</v>
      </c>
      <c r="K36" s="20" t="s">
        <v>250</v>
      </c>
      <c r="M36" s="21" t="s">
        <v>251</v>
      </c>
      <c r="O36" s="21" t="s">
        <v>251</v>
      </c>
      <c r="P36" s="155"/>
      <c r="Q36" s="155"/>
      <c r="R36" s="155"/>
      <c r="S36" s="19"/>
      <c r="T36" s="19"/>
      <c r="U36" s="19"/>
      <c r="V36" s="19"/>
      <c r="W36" s="19"/>
      <c r="X36" s="19"/>
      <c r="Y36" s="29"/>
      <c r="Z36" s="29"/>
      <c r="AA36" s="29"/>
    </row>
    <row r="37" spans="2:27" ht="17.899999999999999" customHeight="1" thickBot="1" x14ac:dyDescent="0.4">
      <c r="E37"/>
      <c r="G37" s="20" t="s">
        <v>268</v>
      </c>
      <c r="H37" s="20" t="s">
        <v>269</v>
      </c>
      <c r="I37" s="20" t="s">
        <v>219</v>
      </c>
      <c r="K37" s="20" t="s">
        <v>254</v>
      </c>
      <c r="M37" s="21" t="s">
        <v>255</v>
      </c>
      <c r="O37" s="21" t="s">
        <v>255</v>
      </c>
      <c r="P37" s="155"/>
      <c r="Q37" s="155"/>
      <c r="R37" s="155"/>
      <c r="S37" s="19"/>
      <c r="T37" s="19"/>
      <c r="U37" s="19"/>
      <c r="V37" s="19"/>
      <c r="W37" s="19"/>
      <c r="X37" s="19"/>
      <c r="Y37" s="29"/>
      <c r="Z37" s="29"/>
      <c r="AA37" s="29"/>
    </row>
    <row r="38" spans="2:27" ht="17.899999999999999" customHeight="1" thickBot="1" x14ac:dyDescent="0.4">
      <c r="B38" s="32" t="s">
        <v>53</v>
      </c>
      <c r="C38" s="33" t="s">
        <v>141</v>
      </c>
      <c r="D38" s="34" t="s">
        <v>256</v>
      </c>
      <c r="E38"/>
      <c r="G38" s="20" t="s">
        <v>273</v>
      </c>
      <c r="H38" s="20" t="s">
        <v>274</v>
      </c>
      <c r="I38" s="20" t="s">
        <v>275</v>
      </c>
      <c r="K38" s="20" t="s">
        <v>259</v>
      </c>
      <c r="M38" s="21" t="s">
        <v>260</v>
      </c>
      <c r="O38" s="21" t="s">
        <v>260</v>
      </c>
      <c r="P38" s="155"/>
      <c r="Q38" s="155"/>
      <c r="R38" s="155"/>
      <c r="S38" s="19"/>
      <c r="T38" s="19"/>
      <c r="U38" s="19"/>
      <c r="V38" s="19"/>
      <c r="W38" s="19"/>
      <c r="X38" s="19"/>
      <c r="Y38" s="29"/>
      <c r="Z38" s="29"/>
      <c r="AA38" s="29"/>
    </row>
    <row r="39" spans="2:27" ht="17.899999999999999" customHeight="1" x14ac:dyDescent="0.35">
      <c r="B39" s="35" t="s">
        <v>261</v>
      </c>
      <c r="C39" s="38"/>
      <c r="D39" s="36"/>
      <c r="G39" s="20" t="s">
        <v>279</v>
      </c>
      <c r="H39" s="20" t="s">
        <v>280</v>
      </c>
      <c r="I39" s="20" t="s">
        <v>219</v>
      </c>
      <c r="K39" s="20" t="s">
        <v>265</v>
      </c>
      <c r="M39" s="21" t="s">
        <v>266</v>
      </c>
      <c r="O39" s="21" t="s">
        <v>266</v>
      </c>
      <c r="P39" s="155"/>
      <c r="Q39" s="155"/>
      <c r="R39" s="155"/>
      <c r="S39" s="19"/>
      <c r="T39" s="19"/>
      <c r="U39" s="19"/>
      <c r="V39" s="19"/>
      <c r="W39" s="19"/>
      <c r="X39" s="19"/>
      <c r="Y39" s="29"/>
      <c r="Z39" s="29"/>
      <c r="AA39" s="29"/>
    </row>
    <row r="40" spans="2:27" ht="17.899999999999999" customHeight="1" x14ac:dyDescent="0.35">
      <c r="B40" s="37" t="s">
        <v>267</v>
      </c>
      <c r="C40" s="38"/>
      <c r="D40" s="39"/>
      <c r="G40" s="20" t="s">
        <v>284</v>
      </c>
      <c r="H40" s="20" t="s">
        <v>285</v>
      </c>
      <c r="I40" s="20" t="s">
        <v>286</v>
      </c>
      <c r="K40" s="20" t="s">
        <v>270</v>
      </c>
      <c r="M40" s="21" t="s">
        <v>271</v>
      </c>
      <c r="O40" s="21" t="s">
        <v>271</v>
      </c>
      <c r="P40" s="155"/>
      <c r="Q40" s="155"/>
      <c r="R40" s="155"/>
      <c r="S40" s="19"/>
      <c r="T40" s="19"/>
      <c r="U40" s="19"/>
      <c r="V40" s="19"/>
      <c r="W40" s="19"/>
      <c r="X40" s="19"/>
      <c r="Y40" s="29"/>
      <c r="Z40" s="29"/>
      <c r="AA40" s="29"/>
    </row>
    <row r="41" spans="2:27" ht="17.899999999999999" customHeight="1" x14ac:dyDescent="0.35">
      <c r="B41" s="37" t="s">
        <v>272</v>
      </c>
      <c r="C41" s="38"/>
      <c r="D41" s="39"/>
      <c r="G41" s="20" t="s">
        <v>924</v>
      </c>
      <c r="H41" s="20" t="s">
        <v>925</v>
      </c>
      <c r="I41" s="20" t="s">
        <v>151</v>
      </c>
      <c r="K41" s="17" t="s">
        <v>276</v>
      </c>
      <c r="M41" s="21" t="s">
        <v>277</v>
      </c>
      <c r="O41" s="21" t="s">
        <v>277</v>
      </c>
      <c r="P41" s="155"/>
      <c r="Q41" s="155"/>
      <c r="R41" s="155"/>
      <c r="S41" s="19"/>
      <c r="T41" s="19"/>
      <c r="U41" s="19"/>
      <c r="V41" s="19"/>
      <c r="W41" s="19"/>
      <c r="X41" s="19"/>
      <c r="Y41" s="29"/>
      <c r="Z41" s="29"/>
      <c r="AA41" s="29"/>
    </row>
    <row r="42" spans="2:27" ht="17.899999999999999" customHeight="1" x14ac:dyDescent="0.35">
      <c r="B42" s="37" t="s">
        <v>278</v>
      </c>
      <c r="C42" s="38"/>
      <c r="D42" s="39"/>
      <c r="G42" s="20" t="s">
        <v>290</v>
      </c>
      <c r="H42" s="20" t="s">
        <v>291</v>
      </c>
      <c r="I42" s="20" t="s">
        <v>219</v>
      </c>
      <c r="K42" s="20" t="s">
        <v>281</v>
      </c>
      <c r="M42" s="21" t="s">
        <v>282</v>
      </c>
      <c r="O42" s="21" t="s">
        <v>282</v>
      </c>
      <c r="P42" s="155"/>
      <c r="Q42" s="155"/>
      <c r="R42" s="155"/>
      <c r="S42" s="19"/>
      <c r="T42" s="19"/>
      <c r="U42" s="19"/>
      <c r="V42" s="19"/>
      <c r="W42" s="19"/>
      <c r="X42" s="19"/>
      <c r="Y42" s="29"/>
      <c r="Z42" s="29"/>
      <c r="AA42" s="29"/>
    </row>
    <row r="43" spans="2:27" ht="17.899999999999999" customHeight="1" x14ac:dyDescent="0.35">
      <c r="B43" s="37" t="s">
        <v>283</v>
      </c>
      <c r="C43" s="38"/>
      <c r="D43" s="39"/>
      <c r="G43" s="20" t="s">
        <v>295</v>
      </c>
      <c r="H43" s="20" t="s">
        <v>296</v>
      </c>
      <c r="I43" s="20" t="s">
        <v>228</v>
      </c>
      <c r="K43" s="20" t="s">
        <v>287</v>
      </c>
      <c r="M43" s="21" t="s">
        <v>288</v>
      </c>
      <c r="O43" s="21" t="s">
        <v>288</v>
      </c>
      <c r="P43" s="155"/>
      <c r="Q43" s="155"/>
      <c r="R43" s="155"/>
      <c r="S43" s="19"/>
      <c r="T43" s="19"/>
      <c r="U43" s="19"/>
      <c r="V43" s="19"/>
      <c r="W43" s="19"/>
      <c r="X43" s="19"/>
      <c r="Y43" s="29"/>
      <c r="Z43" s="29"/>
      <c r="AA43" s="29"/>
    </row>
    <row r="44" spans="2:27" ht="17.899999999999999" customHeight="1" x14ac:dyDescent="0.35">
      <c r="B44" s="37" t="s">
        <v>289</v>
      </c>
      <c r="C44" s="38"/>
      <c r="D44" s="39"/>
      <c r="G44" s="20" t="s">
        <v>300</v>
      </c>
      <c r="H44" s="20" t="s">
        <v>301</v>
      </c>
      <c r="I44" s="20" t="s">
        <v>228</v>
      </c>
      <c r="K44" s="20" t="s">
        <v>292</v>
      </c>
      <c r="M44" s="21" t="s">
        <v>293</v>
      </c>
      <c r="O44" s="21" t="s">
        <v>293</v>
      </c>
      <c r="P44" s="155"/>
      <c r="Q44" s="155"/>
      <c r="R44" s="155"/>
      <c r="S44" s="19"/>
      <c r="T44" s="19"/>
      <c r="U44" s="19"/>
      <c r="V44" s="19"/>
      <c r="W44" s="19"/>
      <c r="X44" s="19"/>
      <c r="Y44" s="29"/>
      <c r="Z44" s="29"/>
      <c r="AA44" s="29"/>
    </row>
    <row r="45" spans="2:27" ht="17.899999999999999" customHeight="1" x14ac:dyDescent="0.35">
      <c r="B45" s="37" t="s">
        <v>294</v>
      </c>
      <c r="C45" s="38"/>
      <c r="D45" s="39"/>
      <c r="G45" s="20" t="s">
        <v>305</v>
      </c>
      <c r="H45" s="20" t="s">
        <v>306</v>
      </c>
      <c r="I45" s="20" t="s">
        <v>228</v>
      </c>
      <c r="K45" s="20" t="s">
        <v>297</v>
      </c>
      <c r="M45" s="21" t="s">
        <v>298</v>
      </c>
      <c r="O45" s="21" t="s">
        <v>298</v>
      </c>
      <c r="P45" s="155"/>
      <c r="Q45" s="155"/>
      <c r="R45" s="155"/>
      <c r="S45" s="19"/>
      <c r="T45" s="19"/>
      <c r="U45" s="19"/>
      <c r="V45" s="19"/>
      <c r="W45" s="19"/>
      <c r="X45" s="19"/>
      <c r="Y45" s="29"/>
      <c r="Z45" s="29"/>
      <c r="AA45" s="29"/>
    </row>
    <row r="46" spans="2:27" ht="17.899999999999999" customHeight="1" x14ac:dyDescent="0.35">
      <c r="B46" s="37" t="s">
        <v>299</v>
      </c>
      <c r="C46" s="38"/>
      <c r="D46" s="39"/>
      <c r="G46" s="20" t="s">
        <v>310</v>
      </c>
      <c r="H46" s="20" t="s">
        <v>311</v>
      </c>
      <c r="I46" s="20" t="s">
        <v>157</v>
      </c>
      <c r="K46" s="20" t="s">
        <v>302</v>
      </c>
      <c r="M46" s="21" t="s">
        <v>303</v>
      </c>
      <c r="O46" s="21" t="s">
        <v>303</v>
      </c>
      <c r="P46" s="155"/>
      <c r="Q46" s="155"/>
      <c r="R46" s="155"/>
      <c r="S46" s="19"/>
      <c r="T46" s="19"/>
      <c r="U46" s="19"/>
      <c r="V46" s="19"/>
      <c r="W46" s="19"/>
      <c r="X46" s="19"/>
      <c r="Y46" s="29"/>
      <c r="Z46" s="29"/>
      <c r="AA46" s="29"/>
    </row>
    <row r="47" spans="2:27" ht="17.899999999999999" customHeight="1" x14ac:dyDescent="0.35">
      <c r="B47" s="37" t="s">
        <v>304</v>
      </c>
      <c r="C47" s="38"/>
      <c r="D47" s="39"/>
      <c r="G47" s="20" t="s">
        <v>315</v>
      </c>
      <c r="H47" s="20" t="s">
        <v>316</v>
      </c>
      <c r="I47" s="20" t="s">
        <v>137</v>
      </c>
      <c r="K47" s="20" t="s">
        <v>307</v>
      </c>
      <c r="M47" s="21" t="s">
        <v>308</v>
      </c>
      <c r="O47" s="21" t="s">
        <v>308</v>
      </c>
      <c r="P47" s="155"/>
      <c r="Q47" s="155"/>
      <c r="R47" s="155"/>
      <c r="S47" s="19"/>
      <c r="T47" s="19"/>
      <c r="U47" s="19"/>
      <c r="V47" s="19"/>
      <c r="W47" s="19"/>
      <c r="X47" s="19"/>
      <c r="Y47" s="29"/>
      <c r="Z47" s="29"/>
      <c r="AA47" s="29"/>
    </row>
    <row r="48" spans="2:27" ht="17.899999999999999" customHeight="1" x14ac:dyDescent="0.35">
      <c r="B48" s="37" t="s">
        <v>309</v>
      </c>
      <c r="C48" s="38"/>
      <c r="D48" s="39"/>
      <c r="G48" s="20" t="s">
        <v>320</v>
      </c>
      <c r="H48" s="20" t="s">
        <v>321</v>
      </c>
      <c r="I48" s="20" t="s">
        <v>157</v>
      </c>
      <c r="K48" s="20" t="s">
        <v>312</v>
      </c>
      <c r="M48" s="21" t="s">
        <v>313</v>
      </c>
      <c r="O48" s="21" t="s">
        <v>313</v>
      </c>
      <c r="P48" s="155"/>
      <c r="Q48" s="155"/>
      <c r="R48" s="155"/>
      <c r="S48" s="19"/>
      <c r="T48" s="19"/>
      <c r="U48" s="19"/>
      <c r="V48" s="19"/>
      <c r="W48" s="19"/>
      <c r="X48" s="19"/>
      <c r="Y48" s="29"/>
      <c r="Z48" s="29"/>
      <c r="AA48" s="29"/>
    </row>
    <row r="49" spans="2:27" ht="17.899999999999999" customHeight="1" x14ac:dyDescent="0.35">
      <c r="B49" s="37" t="s">
        <v>314</v>
      </c>
      <c r="C49" s="38"/>
      <c r="D49" s="39"/>
      <c r="G49" s="20" t="s">
        <v>926</v>
      </c>
      <c r="H49" s="20" t="s">
        <v>325</v>
      </c>
      <c r="I49" s="20" t="s">
        <v>219</v>
      </c>
      <c r="K49" s="20" t="s">
        <v>317</v>
      </c>
      <c r="M49" s="21" t="s">
        <v>318</v>
      </c>
      <c r="O49" s="21" t="s">
        <v>318</v>
      </c>
      <c r="P49" s="155"/>
      <c r="Q49" s="155"/>
      <c r="R49" s="155"/>
      <c r="S49" s="19"/>
      <c r="T49" s="19"/>
      <c r="U49" s="19"/>
      <c r="V49" s="19"/>
      <c r="W49" s="19"/>
      <c r="X49" s="19"/>
      <c r="Y49" s="29"/>
      <c r="Z49" s="29"/>
      <c r="AA49" s="29"/>
    </row>
    <row r="50" spans="2:27" ht="17.899999999999999" customHeight="1" x14ac:dyDescent="0.35">
      <c r="B50" s="37" t="s">
        <v>319</v>
      </c>
      <c r="C50" s="38"/>
      <c r="D50" s="39"/>
      <c r="G50" s="20" t="s">
        <v>329</v>
      </c>
      <c r="H50" s="20" t="s">
        <v>330</v>
      </c>
      <c r="I50" s="20" t="s">
        <v>264</v>
      </c>
      <c r="K50" s="20" t="s">
        <v>322</v>
      </c>
      <c r="M50" s="21" t="s">
        <v>323</v>
      </c>
      <c r="O50" s="21" t="s">
        <v>323</v>
      </c>
      <c r="P50" s="155"/>
      <c r="Q50" s="155"/>
      <c r="R50" s="155"/>
      <c r="S50" s="19"/>
      <c r="T50" s="19"/>
      <c r="U50" s="19"/>
      <c r="V50" s="19"/>
      <c r="W50" s="19"/>
      <c r="X50" s="19"/>
      <c r="Y50" s="29"/>
      <c r="Z50" s="29"/>
      <c r="AA50" s="29"/>
    </row>
    <row r="51" spans="2:27" ht="17.899999999999999" customHeight="1" x14ac:dyDescent="0.35">
      <c r="B51" s="37" t="s">
        <v>324</v>
      </c>
      <c r="C51" s="38"/>
      <c r="D51" s="39"/>
      <c r="G51" s="20" t="s">
        <v>334</v>
      </c>
      <c r="H51" s="20" t="s">
        <v>335</v>
      </c>
      <c r="I51" s="20" t="s">
        <v>224</v>
      </c>
      <c r="K51" s="20" t="s">
        <v>326</v>
      </c>
      <c r="M51" s="21" t="s">
        <v>327</v>
      </c>
      <c r="O51" s="21" t="s">
        <v>327</v>
      </c>
      <c r="P51" s="155"/>
      <c r="Q51" s="155"/>
      <c r="R51" s="155"/>
      <c r="S51" s="19"/>
      <c r="T51" s="19"/>
      <c r="U51" s="19"/>
      <c r="V51" s="19"/>
      <c r="W51" s="19"/>
      <c r="X51" s="19"/>
      <c r="Y51" s="29"/>
      <c r="Z51" s="29"/>
      <c r="AA51" s="29"/>
    </row>
    <row r="52" spans="2:27" ht="17.899999999999999" customHeight="1" x14ac:dyDescent="0.35">
      <c r="B52" s="37" t="s">
        <v>328</v>
      </c>
      <c r="C52" s="38"/>
      <c r="D52" s="39"/>
      <c r="G52" s="20" t="s">
        <v>339</v>
      </c>
      <c r="H52" s="20" t="s">
        <v>340</v>
      </c>
      <c r="I52" s="20" t="s">
        <v>228</v>
      </c>
      <c r="K52" s="20" t="s">
        <v>331</v>
      </c>
      <c r="M52" s="21" t="s">
        <v>332</v>
      </c>
      <c r="O52" s="21" t="s">
        <v>332</v>
      </c>
      <c r="P52" s="155"/>
      <c r="Q52" s="155"/>
      <c r="R52" s="155"/>
      <c r="S52" s="19"/>
      <c r="T52" s="19"/>
      <c r="U52" s="19"/>
      <c r="V52" s="19"/>
      <c r="W52" s="19"/>
      <c r="X52" s="19"/>
      <c r="Y52" s="29"/>
      <c r="Z52" s="29"/>
      <c r="AA52" s="29"/>
    </row>
    <row r="53" spans="2:27" ht="17.899999999999999" customHeight="1" x14ac:dyDescent="0.35">
      <c r="B53" s="37" t="s">
        <v>333</v>
      </c>
      <c r="C53" s="38"/>
      <c r="D53" s="39"/>
      <c r="G53" s="20" t="s">
        <v>344</v>
      </c>
      <c r="H53" s="20" t="s">
        <v>345</v>
      </c>
      <c r="I53" s="20" t="s">
        <v>219</v>
      </c>
      <c r="K53" s="20" t="s">
        <v>336</v>
      </c>
      <c r="M53" s="21" t="s">
        <v>337</v>
      </c>
      <c r="O53" s="21" t="s">
        <v>337</v>
      </c>
      <c r="P53" s="155"/>
      <c r="Q53" s="155"/>
      <c r="R53" s="155"/>
      <c r="S53" s="19"/>
      <c r="T53" s="19"/>
      <c r="U53" s="19"/>
      <c r="V53" s="19"/>
      <c r="W53" s="19"/>
      <c r="X53" s="19"/>
      <c r="Y53" s="29"/>
      <c r="Z53" s="29"/>
      <c r="AA53" s="29"/>
    </row>
    <row r="54" spans="2:27" ht="17.899999999999999" customHeight="1" x14ac:dyDescent="0.35">
      <c r="B54" s="37" t="s">
        <v>338</v>
      </c>
      <c r="C54" s="38"/>
      <c r="D54" s="39"/>
      <c r="G54" s="20" t="s">
        <v>349</v>
      </c>
      <c r="H54" s="20" t="s">
        <v>350</v>
      </c>
      <c r="I54" s="20" t="s">
        <v>219</v>
      </c>
      <c r="K54" s="20" t="s">
        <v>341</v>
      </c>
      <c r="M54" s="21" t="s">
        <v>342</v>
      </c>
      <c r="O54" s="21" t="s">
        <v>342</v>
      </c>
      <c r="P54" s="155"/>
      <c r="Q54" s="155"/>
      <c r="R54" s="155"/>
      <c r="S54" s="19"/>
      <c r="T54" s="19"/>
      <c r="U54" s="19"/>
      <c r="V54" s="19"/>
      <c r="W54" s="19"/>
      <c r="X54" s="19"/>
      <c r="Y54" s="29"/>
      <c r="Z54" s="29"/>
      <c r="AA54" s="29"/>
    </row>
    <row r="55" spans="2:27" ht="17.899999999999999" customHeight="1" x14ac:dyDescent="0.35">
      <c r="B55" s="37" t="s">
        <v>343</v>
      </c>
      <c r="C55" s="38"/>
      <c r="D55" s="39"/>
      <c r="G55" s="20" t="s">
        <v>354</v>
      </c>
      <c r="H55" s="20" t="s">
        <v>355</v>
      </c>
      <c r="I55" s="20" t="s">
        <v>356</v>
      </c>
      <c r="K55" s="20" t="s">
        <v>346</v>
      </c>
      <c r="M55" s="21" t="s">
        <v>347</v>
      </c>
      <c r="O55" s="21" t="s">
        <v>347</v>
      </c>
      <c r="P55" s="155"/>
      <c r="Q55" s="155"/>
      <c r="R55" s="155"/>
      <c r="S55" s="19"/>
      <c r="T55" s="19"/>
      <c r="U55" s="19"/>
      <c r="V55" s="19"/>
      <c r="W55" s="19"/>
      <c r="X55" s="19"/>
      <c r="Y55" s="29"/>
      <c r="Z55" s="29"/>
      <c r="AA55" s="29"/>
    </row>
    <row r="56" spans="2:27" ht="17.899999999999999" customHeight="1" x14ac:dyDescent="0.35">
      <c r="B56" s="37" t="s">
        <v>348</v>
      </c>
      <c r="C56" s="38"/>
      <c r="D56" s="39"/>
      <c r="G56" s="20" t="s">
        <v>927</v>
      </c>
      <c r="H56" s="20" t="s">
        <v>928</v>
      </c>
      <c r="I56" s="20" t="s">
        <v>388</v>
      </c>
      <c r="K56" s="20" t="s">
        <v>351</v>
      </c>
      <c r="M56" s="21" t="s">
        <v>352</v>
      </c>
      <c r="O56" s="21" t="s">
        <v>352</v>
      </c>
      <c r="P56" s="155"/>
      <c r="Q56" s="155"/>
      <c r="R56" s="155"/>
      <c r="S56" s="19"/>
      <c r="T56" s="19"/>
      <c r="U56" s="19"/>
      <c r="V56" s="19"/>
      <c r="W56" s="19"/>
      <c r="X56" s="19"/>
      <c r="Y56" s="29"/>
      <c r="Z56" s="29"/>
      <c r="AA56" s="29"/>
    </row>
    <row r="57" spans="2:27" ht="17.899999999999999" customHeight="1" x14ac:dyDescent="0.35">
      <c r="B57" s="37" t="s">
        <v>353</v>
      </c>
      <c r="C57" s="38"/>
      <c r="D57" s="39"/>
      <c r="G57" s="20" t="s">
        <v>362</v>
      </c>
      <c r="H57" s="20" t="s">
        <v>363</v>
      </c>
      <c r="I57" s="20" t="s">
        <v>151</v>
      </c>
      <c r="K57" s="20" t="s">
        <v>357</v>
      </c>
      <c r="M57" s="21" t="s">
        <v>358</v>
      </c>
      <c r="O57" s="21" t="s">
        <v>358</v>
      </c>
      <c r="P57" s="155"/>
      <c r="Q57" s="155"/>
      <c r="R57" s="155"/>
      <c r="S57" s="19"/>
      <c r="T57" s="19"/>
      <c r="U57" s="19"/>
      <c r="V57" s="19"/>
      <c r="W57" s="19"/>
      <c r="X57" s="19"/>
      <c r="Y57" s="29"/>
      <c r="Z57" s="29"/>
      <c r="AA57" s="29"/>
    </row>
    <row r="58" spans="2:27" ht="17.899999999999999" customHeight="1" thickBot="1" x14ac:dyDescent="0.4">
      <c r="B58" s="37" t="s">
        <v>359</v>
      </c>
      <c r="C58" s="38"/>
      <c r="D58" s="39"/>
      <c r="G58" s="20" t="s">
        <v>367</v>
      </c>
      <c r="H58" s="20" t="s">
        <v>368</v>
      </c>
      <c r="I58" s="20" t="s">
        <v>219</v>
      </c>
      <c r="K58" s="20" t="s">
        <v>360</v>
      </c>
      <c r="M58" s="21" t="s">
        <v>361</v>
      </c>
      <c r="O58" s="21" t="s">
        <v>361</v>
      </c>
      <c r="P58" s="155"/>
      <c r="Q58" s="155"/>
      <c r="R58" s="155"/>
      <c r="S58" s="19"/>
      <c r="T58" s="19"/>
      <c r="U58" s="19"/>
      <c r="V58" s="19"/>
      <c r="W58" s="19"/>
      <c r="X58" s="19"/>
      <c r="Y58" s="29"/>
      <c r="Z58" s="29"/>
      <c r="AA58" s="29"/>
    </row>
    <row r="59" spans="2:27" ht="17.899999999999999" customHeight="1" thickBot="1" x14ac:dyDescent="0.4">
      <c r="G59" s="20" t="s">
        <v>371</v>
      </c>
      <c r="H59" s="20" t="s">
        <v>372</v>
      </c>
      <c r="I59" s="20" t="s">
        <v>373</v>
      </c>
      <c r="K59" s="20" t="s">
        <v>364</v>
      </c>
      <c r="M59" s="21" t="s">
        <v>365</v>
      </c>
      <c r="O59" s="21" t="s">
        <v>365</v>
      </c>
      <c r="P59" s="40">
        <f>P57</f>
        <v>0</v>
      </c>
      <c r="Q59" s="40">
        <f>Q57</f>
        <v>0</v>
      </c>
      <c r="R59" s="40">
        <f>R57</f>
        <v>0</v>
      </c>
      <c r="S59" s="19"/>
      <c r="T59" s="19"/>
      <c r="U59" s="19"/>
      <c r="V59" s="19"/>
      <c r="W59" s="19"/>
      <c r="X59" s="19"/>
      <c r="Y59" s="29"/>
      <c r="Z59" s="29"/>
      <c r="AA59" s="29"/>
    </row>
    <row r="60" spans="2:27" ht="17.899999999999999" customHeight="1" x14ac:dyDescent="0.35">
      <c r="B60" s="241" t="s">
        <v>948</v>
      </c>
      <c r="C60" s="244" t="s">
        <v>256</v>
      </c>
      <c r="D60" s="246" t="s">
        <v>949</v>
      </c>
      <c r="E60" s="248" t="s">
        <v>366</v>
      </c>
      <c r="G60" s="20" t="s">
        <v>376</v>
      </c>
      <c r="H60" s="20" t="s">
        <v>377</v>
      </c>
      <c r="I60" s="20" t="s">
        <v>264</v>
      </c>
      <c r="K60" s="20" t="s">
        <v>369</v>
      </c>
      <c r="M60" s="21" t="s">
        <v>370</v>
      </c>
      <c r="O60" s="21" t="s">
        <v>370</v>
      </c>
      <c r="P60" s="155"/>
      <c r="Q60" s="155"/>
      <c r="R60" s="155"/>
      <c r="S60" s="19"/>
      <c r="T60" s="19"/>
      <c r="U60" s="19"/>
      <c r="V60" s="19"/>
      <c r="W60" s="19"/>
      <c r="X60" s="19"/>
      <c r="Y60" s="29"/>
      <c r="Z60" s="29"/>
      <c r="AA60" s="29"/>
    </row>
    <row r="61" spans="2:27" ht="17.899999999999999" customHeight="1" x14ac:dyDescent="0.35">
      <c r="B61" s="242"/>
      <c r="C61" s="245"/>
      <c r="D61" s="247"/>
      <c r="E61" s="249"/>
      <c r="G61" s="20" t="s">
        <v>381</v>
      </c>
      <c r="H61" s="20" t="s">
        <v>382</v>
      </c>
      <c r="I61" s="20" t="s">
        <v>373</v>
      </c>
      <c r="K61" s="20" t="s">
        <v>374</v>
      </c>
      <c r="M61" s="21" t="s">
        <v>375</v>
      </c>
      <c r="O61" s="21" t="s">
        <v>375</v>
      </c>
      <c r="P61" s="155"/>
      <c r="Q61" s="155"/>
      <c r="R61" s="155"/>
      <c r="S61" s="19"/>
      <c r="T61" s="19"/>
      <c r="U61" s="19"/>
      <c r="V61" s="19"/>
      <c r="W61" s="19"/>
      <c r="X61" s="19"/>
      <c r="Y61" s="29"/>
      <c r="Z61" s="29"/>
      <c r="AA61" s="29"/>
    </row>
    <row r="62" spans="2:27" ht="17.899999999999999" customHeight="1" thickBot="1" x14ac:dyDescent="0.4">
      <c r="B62" s="243"/>
      <c r="C62" s="43">
        <f>B100</f>
        <v>0</v>
      </c>
      <c r="D62" s="98" t="e">
        <f>#REF!-#REF!-E62
+(SUMIF(#REF!,"Other remaining administrative expenses",#REF!)
+SUMIF(#REF!,"Other remaining administrative expenses",#REF!)
+SUMIF(#REF!,"Other remaining administrative expenses",#REF!))
/3</f>
        <v>#REF!</v>
      </c>
      <c r="E62" s="44"/>
      <c r="G62" s="20" t="s">
        <v>386</v>
      </c>
      <c r="H62" s="20" t="s">
        <v>387</v>
      </c>
      <c r="I62" s="20" t="s">
        <v>388</v>
      </c>
      <c r="K62" s="20" t="s">
        <v>378</v>
      </c>
      <c r="M62" s="21" t="s">
        <v>379</v>
      </c>
      <c r="O62" s="21" t="s">
        <v>379</v>
      </c>
      <c r="P62" s="155"/>
      <c r="Q62" s="155"/>
      <c r="R62" s="155"/>
      <c r="S62" s="19"/>
      <c r="T62" s="19"/>
      <c r="U62" s="19"/>
      <c r="V62" s="19"/>
      <c r="W62" s="19"/>
      <c r="X62" s="19"/>
      <c r="Y62" s="29"/>
      <c r="Z62" s="29"/>
      <c r="AA62" s="29"/>
    </row>
    <row r="63" spans="2:27" ht="17.899999999999999" customHeight="1" x14ac:dyDescent="0.35">
      <c r="B63" s="45" t="s">
        <v>380</v>
      </c>
      <c r="C63" s="46"/>
      <c r="D63" s="47"/>
      <c r="G63" s="20" t="s">
        <v>392</v>
      </c>
      <c r="H63" s="20" t="s">
        <v>393</v>
      </c>
      <c r="I63" s="20" t="s">
        <v>151</v>
      </c>
      <c r="K63" s="20" t="s">
        <v>383</v>
      </c>
      <c r="M63" s="21" t="s">
        <v>384</v>
      </c>
      <c r="O63" s="21" t="s">
        <v>384</v>
      </c>
      <c r="P63" s="155"/>
      <c r="Q63" s="155"/>
      <c r="R63" s="155"/>
      <c r="S63" s="19"/>
      <c r="T63" s="19"/>
      <c r="U63" s="19"/>
      <c r="V63" s="19"/>
      <c r="W63" s="19"/>
      <c r="X63" s="19"/>
      <c r="Y63" s="29"/>
      <c r="Z63" s="29"/>
      <c r="AA63" s="29"/>
    </row>
    <row r="64" spans="2:27" ht="17.899999999999999" customHeight="1" x14ac:dyDescent="0.35">
      <c r="B64" s="48" t="s">
        <v>385</v>
      </c>
      <c r="C64" s="49"/>
      <c r="D64" s="50"/>
      <c r="G64" s="20" t="s">
        <v>397</v>
      </c>
      <c r="H64" s="20" t="s">
        <v>398</v>
      </c>
      <c r="I64" s="20" t="s">
        <v>205</v>
      </c>
      <c r="K64" s="20" t="s">
        <v>389</v>
      </c>
      <c r="M64" s="21" t="s">
        <v>390</v>
      </c>
      <c r="O64" s="21" t="s">
        <v>390</v>
      </c>
      <c r="P64" s="155"/>
      <c r="Q64" s="155"/>
      <c r="R64" s="155"/>
      <c r="S64" s="19"/>
      <c r="T64" s="19"/>
      <c r="U64" s="19"/>
      <c r="V64" s="19"/>
      <c r="W64" s="19"/>
      <c r="X64" s="19"/>
      <c r="Y64" s="29"/>
      <c r="Z64" s="29"/>
      <c r="AA64" s="29"/>
    </row>
    <row r="65" spans="2:27" ht="17.899999999999999" customHeight="1" x14ac:dyDescent="0.35">
      <c r="B65" s="48" t="s">
        <v>391</v>
      </c>
      <c r="C65" s="49"/>
      <c r="D65" s="50"/>
      <c r="G65" s="20" t="s">
        <v>402</v>
      </c>
      <c r="H65" s="20" t="s">
        <v>403</v>
      </c>
      <c r="I65" s="20" t="s">
        <v>286</v>
      </c>
      <c r="K65" s="20" t="s">
        <v>394</v>
      </c>
      <c r="M65" s="21" t="s">
        <v>395</v>
      </c>
      <c r="O65" s="21" t="s">
        <v>395</v>
      </c>
      <c r="P65" s="155"/>
      <c r="Q65" s="155"/>
      <c r="R65" s="155"/>
      <c r="S65" s="19"/>
      <c r="T65" s="19"/>
      <c r="U65" s="19"/>
      <c r="V65" s="19"/>
      <c r="W65" s="19"/>
      <c r="X65" s="19"/>
      <c r="Y65" s="29"/>
      <c r="Z65" s="29"/>
      <c r="AA65" s="29"/>
    </row>
    <row r="66" spans="2:27" ht="17.899999999999999" customHeight="1" thickBot="1" x14ac:dyDescent="0.4">
      <c r="B66" s="48" t="s">
        <v>396</v>
      </c>
      <c r="C66" s="49"/>
      <c r="D66" s="50"/>
      <c r="G66" s="20" t="s">
        <v>407</v>
      </c>
      <c r="H66" s="20" t="s">
        <v>408</v>
      </c>
      <c r="I66" s="20" t="s">
        <v>356</v>
      </c>
      <c r="K66" s="20" t="s">
        <v>399</v>
      </c>
      <c r="M66" s="21" t="s">
        <v>400</v>
      </c>
      <c r="O66" s="21" t="s">
        <v>400</v>
      </c>
      <c r="P66" s="155"/>
      <c r="Q66" s="155"/>
      <c r="R66" s="155"/>
      <c r="S66" s="19"/>
      <c r="T66" s="19"/>
      <c r="U66" s="19"/>
      <c r="V66" s="19"/>
      <c r="W66" s="19"/>
      <c r="X66" s="19"/>
      <c r="Y66" s="29"/>
      <c r="Z66" s="29"/>
      <c r="AA66" s="29"/>
    </row>
    <row r="67" spans="2:27" ht="17.899999999999999" customHeight="1" thickBot="1" x14ac:dyDescent="0.4">
      <c r="B67" s="48" t="s">
        <v>401</v>
      </c>
      <c r="C67" s="49"/>
      <c r="D67" s="50"/>
      <c r="G67" s="20" t="s">
        <v>412</v>
      </c>
      <c r="H67" s="20" t="s">
        <v>413</v>
      </c>
      <c r="I67" s="20" t="s">
        <v>356</v>
      </c>
      <c r="K67" s="20" t="s">
        <v>404</v>
      </c>
      <c r="M67" s="21" t="s">
        <v>405</v>
      </c>
      <c r="O67" s="21" t="s">
        <v>405</v>
      </c>
      <c r="P67" s="40">
        <f>$P$54</f>
        <v>0</v>
      </c>
      <c r="Q67" s="40">
        <f>$Q$54</f>
        <v>0</v>
      </c>
      <c r="R67" s="40">
        <f>$R$54</f>
        <v>0</v>
      </c>
      <c r="S67" s="19"/>
      <c r="T67" s="19"/>
      <c r="U67" s="19"/>
      <c r="V67" s="19"/>
      <c r="W67" s="19"/>
      <c r="X67" s="19"/>
      <c r="Y67" s="29"/>
      <c r="Z67" s="29"/>
      <c r="AA67" s="29"/>
    </row>
    <row r="68" spans="2:27" ht="17.899999999999999" customHeight="1" x14ac:dyDescent="0.35">
      <c r="B68" s="48" t="s">
        <v>406</v>
      </c>
      <c r="C68" s="49"/>
      <c r="D68" s="50"/>
      <c r="G68" s="20" t="s">
        <v>929</v>
      </c>
      <c r="H68" s="20" t="s">
        <v>417</v>
      </c>
      <c r="I68" s="20" t="s">
        <v>228</v>
      </c>
      <c r="K68" s="20" t="s">
        <v>409</v>
      </c>
      <c r="M68" s="21" t="s">
        <v>410</v>
      </c>
      <c r="O68" s="21" t="s">
        <v>410</v>
      </c>
      <c r="P68" s="155"/>
      <c r="Q68" s="155"/>
      <c r="R68" s="155"/>
      <c r="S68" s="19"/>
      <c r="T68" s="19"/>
      <c r="U68" s="19"/>
      <c r="V68" s="19"/>
      <c r="W68" s="19"/>
      <c r="X68" s="19"/>
      <c r="Y68" s="29"/>
      <c r="Z68" s="29"/>
      <c r="AA68" s="29"/>
    </row>
    <row r="69" spans="2:27" ht="17.899999999999999" customHeight="1" x14ac:dyDescent="0.35">
      <c r="B69" s="48" t="s">
        <v>411</v>
      </c>
      <c r="C69" s="49"/>
      <c r="D69" s="50"/>
      <c r="G69" s="20" t="s">
        <v>930</v>
      </c>
      <c r="H69" s="20" t="s">
        <v>931</v>
      </c>
      <c r="I69" s="20" t="s">
        <v>275</v>
      </c>
      <c r="K69" s="20" t="s">
        <v>414</v>
      </c>
      <c r="M69" s="21" t="s">
        <v>415</v>
      </c>
      <c r="O69" s="21" t="s">
        <v>415</v>
      </c>
      <c r="P69" s="155"/>
      <c r="Q69" s="155"/>
      <c r="R69" s="155"/>
      <c r="S69" s="19"/>
      <c r="T69" s="19"/>
      <c r="U69" s="19"/>
      <c r="V69" s="19"/>
      <c r="W69" s="19"/>
      <c r="X69" s="19"/>
      <c r="Y69" s="29"/>
      <c r="Z69" s="29"/>
      <c r="AA69" s="29"/>
    </row>
    <row r="70" spans="2:27" ht="17.899999999999999" customHeight="1" x14ac:dyDescent="0.35">
      <c r="B70" s="48" t="s">
        <v>416</v>
      </c>
      <c r="C70" s="49"/>
      <c r="D70" s="50"/>
      <c r="G70" s="20" t="s">
        <v>932</v>
      </c>
      <c r="H70" s="20" t="s">
        <v>933</v>
      </c>
      <c r="I70" s="20" t="s">
        <v>275</v>
      </c>
      <c r="K70" s="20" t="s">
        <v>418</v>
      </c>
      <c r="M70" s="21" t="s">
        <v>419</v>
      </c>
      <c r="O70" s="21" t="s">
        <v>419</v>
      </c>
      <c r="P70" s="155"/>
      <c r="Q70" s="155"/>
      <c r="R70" s="155"/>
      <c r="S70" s="19"/>
      <c r="T70" s="19"/>
      <c r="U70" s="19"/>
      <c r="V70" s="19"/>
      <c r="W70" s="19"/>
      <c r="X70" s="19"/>
      <c r="Y70" s="29"/>
      <c r="Z70" s="29"/>
      <c r="AA70" s="29"/>
    </row>
    <row r="71" spans="2:27" ht="17.899999999999999" customHeight="1" thickBot="1" x14ac:dyDescent="0.4">
      <c r="B71" s="48" t="s">
        <v>420</v>
      </c>
      <c r="C71" s="49"/>
      <c r="D71" s="50"/>
      <c r="G71" s="20" t="s">
        <v>421</v>
      </c>
      <c r="H71" s="20" t="s">
        <v>422</v>
      </c>
      <c r="I71" s="20" t="s">
        <v>356</v>
      </c>
      <c r="K71" s="20" t="s">
        <v>423</v>
      </c>
      <c r="M71" s="21" t="s">
        <v>424</v>
      </c>
      <c r="O71" s="21" t="s">
        <v>424</v>
      </c>
      <c r="P71" s="155"/>
      <c r="Q71" s="155"/>
      <c r="R71" s="155"/>
      <c r="S71" s="19"/>
      <c r="T71" s="19"/>
      <c r="U71" s="19"/>
      <c r="V71" s="19"/>
      <c r="W71" s="19"/>
      <c r="X71" s="19"/>
      <c r="Y71" s="29"/>
      <c r="Z71" s="29"/>
      <c r="AA71" s="29"/>
    </row>
    <row r="72" spans="2:27" ht="17.899999999999999" customHeight="1" thickBot="1" x14ac:dyDescent="0.4">
      <c r="B72" s="48" t="s">
        <v>425</v>
      </c>
      <c r="C72" s="49"/>
      <c r="D72" s="50"/>
      <c r="G72" s="20" t="s">
        <v>426</v>
      </c>
      <c r="H72" s="20" t="s">
        <v>427</v>
      </c>
      <c r="I72" s="20" t="s">
        <v>356</v>
      </c>
      <c r="K72" s="20" t="s">
        <v>428</v>
      </c>
      <c r="M72" s="21" t="s">
        <v>429</v>
      </c>
      <c r="O72" s="21" t="s">
        <v>429</v>
      </c>
      <c r="P72" s="40">
        <f>P57</f>
        <v>0</v>
      </c>
      <c r="Q72" s="40">
        <f>Q57</f>
        <v>0</v>
      </c>
      <c r="R72" s="40">
        <f>R57</f>
        <v>0</v>
      </c>
      <c r="S72" s="19"/>
      <c r="T72" s="19"/>
      <c r="U72" s="19"/>
      <c r="V72" s="19"/>
      <c r="W72" s="19"/>
      <c r="X72" s="19"/>
      <c r="Y72" s="29"/>
      <c r="Z72" s="29"/>
      <c r="AA72" s="29"/>
    </row>
    <row r="73" spans="2:27" ht="17.899999999999999" customHeight="1" x14ac:dyDescent="0.35">
      <c r="B73" s="48" t="s">
        <v>430</v>
      </c>
      <c r="C73" s="49"/>
      <c r="D73" s="50"/>
      <c r="G73" s="20" t="s">
        <v>434</v>
      </c>
      <c r="H73" s="20" t="s">
        <v>435</v>
      </c>
      <c r="I73" s="20" t="s">
        <v>157</v>
      </c>
      <c r="K73" s="20" t="s">
        <v>431</v>
      </c>
      <c r="M73" s="21" t="s">
        <v>432</v>
      </c>
      <c r="O73" s="21" t="s">
        <v>432</v>
      </c>
      <c r="P73" s="155"/>
      <c r="Q73" s="155"/>
      <c r="R73" s="155"/>
      <c r="S73" s="19"/>
      <c r="T73" s="19"/>
      <c r="U73" s="19"/>
      <c r="V73" s="19"/>
      <c r="W73" s="19"/>
      <c r="X73" s="19"/>
      <c r="Y73" s="29"/>
      <c r="Z73" s="29"/>
      <c r="AA73" s="29"/>
    </row>
    <row r="74" spans="2:27" ht="17.899999999999999" customHeight="1" x14ac:dyDescent="0.35">
      <c r="B74" s="48" t="s">
        <v>433</v>
      </c>
      <c r="C74" s="49"/>
      <c r="D74" s="50"/>
      <c r="G74" s="20" t="s">
        <v>439</v>
      </c>
      <c r="H74" s="20" t="s">
        <v>440</v>
      </c>
      <c r="I74" s="20" t="s">
        <v>219</v>
      </c>
      <c r="K74" s="20" t="s">
        <v>436</v>
      </c>
      <c r="M74" s="21" t="s">
        <v>437</v>
      </c>
      <c r="O74" s="21" t="s">
        <v>437</v>
      </c>
      <c r="P74" s="155"/>
      <c r="Q74" s="155"/>
      <c r="R74" s="155"/>
      <c r="S74" s="19"/>
      <c r="T74" s="19"/>
      <c r="U74" s="19"/>
      <c r="V74" s="19"/>
      <c r="W74" s="19"/>
      <c r="X74" s="19"/>
      <c r="Y74" s="29"/>
      <c r="Z74" s="29"/>
      <c r="AA74" s="29"/>
    </row>
    <row r="75" spans="2:27" ht="17.899999999999999" customHeight="1" x14ac:dyDescent="0.35">
      <c r="B75" s="48" t="s">
        <v>438</v>
      </c>
      <c r="C75" s="49"/>
      <c r="D75" s="50"/>
      <c r="K75" s="20" t="s">
        <v>441</v>
      </c>
      <c r="M75" s="21" t="s">
        <v>442</v>
      </c>
      <c r="O75" s="21" t="s">
        <v>442</v>
      </c>
      <c r="P75" s="155"/>
      <c r="Q75" s="155"/>
      <c r="R75" s="155"/>
      <c r="S75" s="19"/>
      <c r="T75" s="19"/>
      <c r="U75" s="19"/>
      <c r="V75" s="19"/>
      <c r="W75" s="19"/>
      <c r="X75" s="19"/>
      <c r="Y75" s="29"/>
      <c r="Z75" s="29"/>
      <c r="AA75" s="29"/>
    </row>
    <row r="76" spans="2:27" ht="17.899999999999999" customHeight="1" thickBot="1" x14ac:dyDescent="0.4">
      <c r="B76" s="48" t="s">
        <v>443</v>
      </c>
      <c r="C76" s="49"/>
      <c r="D76" s="50"/>
      <c r="K76" s="20" t="s">
        <v>444</v>
      </c>
      <c r="M76" s="21" t="s">
        <v>445</v>
      </c>
      <c r="O76" s="21" t="s">
        <v>445</v>
      </c>
      <c r="P76" s="155"/>
      <c r="Q76" s="155"/>
      <c r="R76" s="155"/>
      <c r="S76" s="19"/>
      <c r="T76" s="19"/>
      <c r="U76" s="19"/>
      <c r="V76" s="19"/>
      <c r="W76" s="19"/>
      <c r="X76" s="19"/>
      <c r="Y76" s="29"/>
      <c r="Z76" s="29"/>
      <c r="AA76" s="29"/>
    </row>
    <row r="77" spans="2:27" ht="17.899999999999999" customHeight="1" thickBot="1" x14ac:dyDescent="0.4">
      <c r="B77" s="48" t="s">
        <v>446</v>
      </c>
      <c r="C77" s="49"/>
      <c r="D77" s="50"/>
      <c r="K77" s="20" t="s">
        <v>447</v>
      </c>
      <c r="M77" s="21" t="s">
        <v>448</v>
      </c>
      <c r="O77" s="21" t="s">
        <v>448</v>
      </c>
      <c r="P77" s="40">
        <f>P57</f>
        <v>0</v>
      </c>
      <c r="Q77" s="40">
        <f>Q57</f>
        <v>0</v>
      </c>
      <c r="R77" s="40">
        <f>R57</f>
        <v>0</v>
      </c>
      <c r="S77" s="19"/>
      <c r="T77" s="19"/>
      <c r="U77" s="19"/>
      <c r="V77" s="19"/>
      <c r="W77" s="19"/>
      <c r="X77" s="19"/>
      <c r="Y77" s="29"/>
      <c r="Z77" s="29"/>
      <c r="AA77" s="29"/>
    </row>
    <row r="78" spans="2:27" ht="17.899999999999999" customHeight="1" thickBot="1" x14ac:dyDescent="0.4">
      <c r="B78" s="51" t="s">
        <v>202</v>
      </c>
      <c r="C78" s="52" t="str">
        <f>O172</f>
        <v>Admin. Exp.: OTHER</v>
      </c>
      <c r="D78" s="53" t="e">
        <f>D62-SUM(D63:D77)</f>
        <v>#REF!</v>
      </c>
      <c r="K78" s="20" t="s">
        <v>449</v>
      </c>
      <c r="M78" s="21" t="s">
        <v>450</v>
      </c>
      <c r="O78" s="21" t="s">
        <v>450</v>
      </c>
      <c r="P78" s="154"/>
      <c r="Q78" s="154"/>
      <c r="R78" s="154"/>
      <c r="S78" s="19"/>
      <c r="T78" s="19"/>
      <c r="U78" s="19"/>
      <c r="V78" s="19"/>
      <c r="W78" s="19"/>
      <c r="X78" s="19"/>
      <c r="Y78" s="29"/>
      <c r="Z78" s="29"/>
      <c r="AA78" s="29"/>
    </row>
    <row r="79" spans="2:27" ht="17.899999999999999" customHeight="1" thickBot="1" x14ac:dyDescent="0.4">
      <c r="K79" s="20" t="s">
        <v>451</v>
      </c>
      <c r="M79" s="21" t="s">
        <v>452</v>
      </c>
      <c r="O79" s="21" t="s">
        <v>452</v>
      </c>
      <c r="P79" s="155"/>
      <c r="Q79" s="155"/>
      <c r="R79" s="155"/>
      <c r="S79" s="19"/>
      <c r="T79" s="19"/>
      <c r="U79" s="19"/>
      <c r="V79" s="19"/>
      <c r="W79" s="19"/>
      <c r="X79" s="19"/>
      <c r="Y79" s="29"/>
      <c r="Z79" s="29"/>
      <c r="AA79" s="29"/>
    </row>
    <row r="80" spans="2:27" ht="17.899999999999999" customHeight="1" x14ac:dyDescent="0.35">
      <c r="B80" s="241" t="s">
        <v>453</v>
      </c>
      <c r="C80" s="41" t="s">
        <v>256</v>
      </c>
      <c r="D80" s="42" t="s">
        <v>454</v>
      </c>
      <c r="K80" s="20" t="s">
        <v>455</v>
      </c>
      <c r="M80" s="21" t="s">
        <v>456</v>
      </c>
      <c r="O80" s="21" t="s">
        <v>456</v>
      </c>
      <c r="P80" s="155"/>
      <c r="Q80" s="155"/>
      <c r="R80" s="155"/>
      <c r="S80" s="19"/>
      <c r="T80" s="19"/>
      <c r="U80" s="19"/>
      <c r="V80" s="19"/>
      <c r="W80" s="19"/>
      <c r="X80" s="19"/>
      <c r="Y80" s="29"/>
      <c r="Z80" s="29"/>
      <c r="AA80" s="29"/>
    </row>
    <row r="81" spans="2:27" ht="17.899999999999999" customHeight="1" thickBot="1" x14ac:dyDescent="0.4">
      <c r="B81" s="243" t="s">
        <v>457</v>
      </c>
      <c r="C81" s="54">
        <f>B100</f>
        <v>0</v>
      </c>
      <c r="D81" s="55" t="e">
        <f>#REF!</f>
        <v>#REF!</v>
      </c>
      <c r="K81" s="20" t="s">
        <v>458</v>
      </c>
      <c r="M81" s="21" t="s">
        <v>459</v>
      </c>
      <c r="O81" s="21" t="s">
        <v>459</v>
      </c>
      <c r="P81" s="155"/>
      <c r="Q81" s="155"/>
      <c r="R81" s="155"/>
      <c r="S81" s="19"/>
      <c r="T81" s="19"/>
      <c r="U81" s="19"/>
      <c r="V81" s="19"/>
      <c r="W81" s="19"/>
      <c r="X81" s="19"/>
      <c r="Y81" s="29"/>
      <c r="Z81" s="29"/>
      <c r="AA81" s="29"/>
    </row>
    <row r="82" spans="2:27" ht="17.899999999999999" customHeight="1" x14ac:dyDescent="0.35">
      <c r="B82" s="45" t="s">
        <v>380</v>
      </c>
      <c r="C82" s="46"/>
      <c r="D82" s="47"/>
      <c r="K82" s="20" t="s">
        <v>460</v>
      </c>
      <c r="M82" s="21" t="s">
        <v>461</v>
      </c>
      <c r="O82" s="21" t="s">
        <v>461</v>
      </c>
      <c r="P82" s="155"/>
      <c r="Q82" s="155"/>
      <c r="R82" s="155"/>
      <c r="S82" s="19"/>
      <c r="T82" s="19"/>
      <c r="U82" s="19"/>
      <c r="V82" s="19"/>
      <c r="W82" s="19"/>
      <c r="X82" s="19"/>
      <c r="Y82" s="29"/>
      <c r="Z82" s="29"/>
      <c r="AA82" s="29"/>
    </row>
    <row r="83" spans="2:27" ht="17.899999999999999" customHeight="1" x14ac:dyDescent="0.35">
      <c r="B83" s="48" t="s">
        <v>385</v>
      </c>
      <c r="C83" s="49"/>
      <c r="D83" s="50"/>
      <c r="K83" s="20" t="s">
        <v>462</v>
      </c>
      <c r="M83" s="21" t="s">
        <v>463</v>
      </c>
      <c r="O83" s="21" t="s">
        <v>463</v>
      </c>
      <c r="P83" s="155"/>
      <c r="Q83" s="155"/>
      <c r="R83" s="155"/>
      <c r="S83" s="19"/>
      <c r="T83" s="19"/>
      <c r="U83" s="19"/>
      <c r="V83" s="19"/>
      <c r="W83" s="19"/>
      <c r="X83" s="19"/>
      <c r="Y83" s="29"/>
      <c r="Z83" s="29"/>
      <c r="AA83" s="29"/>
    </row>
    <row r="84" spans="2:27" ht="17.899999999999999" customHeight="1" x14ac:dyDescent="0.35">
      <c r="B84" s="48" t="s">
        <v>391</v>
      </c>
      <c r="C84" s="49"/>
      <c r="D84" s="50"/>
      <c r="K84" s="20" t="s">
        <v>464</v>
      </c>
      <c r="M84" s="21" t="s">
        <v>465</v>
      </c>
      <c r="O84" s="21" t="s">
        <v>465</v>
      </c>
      <c r="P84" s="155"/>
      <c r="Q84" s="155"/>
      <c r="R84" s="155"/>
      <c r="S84" s="19"/>
      <c r="T84" s="19"/>
      <c r="U84" s="19"/>
      <c r="V84" s="19"/>
      <c r="W84" s="19"/>
      <c r="X84" s="19"/>
      <c r="Y84" s="29"/>
      <c r="Z84" s="29"/>
      <c r="AA84" s="29"/>
    </row>
    <row r="85" spans="2:27" ht="17.899999999999999" customHeight="1" x14ac:dyDescent="0.35">
      <c r="B85" s="48" t="s">
        <v>396</v>
      </c>
      <c r="C85" s="49"/>
      <c r="D85" s="50"/>
      <c r="K85" s="20" t="s">
        <v>466</v>
      </c>
      <c r="M85" s="21" t="s">
        <v>467</v>
      </c>
      <c r="O85" s="21" t="s">
        <v>467</v>
      </c>
      <c r="P85" s="155"/>
      <c r="Q85" s="155"/>
      <c r="R85" s="155"/>
      <c r="S85" s="19"/>
      <c r="T85" s="19"/>
      <c r="U85" s="19"/>
      <c r="V85" s="19"/>
      <c r="W85" s="19"/>
      <c r="X85" s="19"/>
      <c r="Y85" s="29"/>
      <c r="Z85" s="29"/>
      <c r="AA85" s="29"/>
    </row>
    <row r="86" spans="2:27" ht="17.899999999999999" customHeight="1" x14ac:dyDescent="0.35">
      <c r="B86" s="48" t="s">
        <v>401</v>
      </c>
      <c r="C86" s="49"/>
      <c r="D86" s="50"/>
      <c r="K86" s="20" t="s">
        <v>468</v>
      </c>
      <c r="M86" s="21" t="s">
        <v>469</v>
      </c>
      <c r="O86" s="21" t="s">
        <v>469</v>
      </c>
      <c r="P86" s="155"/>
      <c r="Q86" s="155"/>
      <c r="R86" s="155"/>
      <c r="S86" s="19"/>
      <c r="T86" s="19"/>
      <c r="U86" s="19"/>
      <c r="V86" s="19"/>
      <c r="W86" s="19"/>
      <c r="X86" s="19"/>
      <c r="Y86" s="29"/>
      <c r="Z86" s="29"/>
      <c r="AA86" s="29"/>
    </row>
    <row r="87" spans="2:27" ht="17.899999999999999" customHeight="1" x14ac:dyDescent="0.35">
      <c r="B87" s="48" t="s">
        <v>406</v>
      </c>
      <c r="C87" s="49"/>
      <c r="D87" s="50"/>
      <c r="K87" s="20" t="s">
        <v>470</v>
      </c>
      <c r="M87" s="21" t="s">
        <v>471</v>
      </c>
      <c r="O87" s="21" t="s">
        <v>471</v>
      </c>
      <c r="P87" s="155"/>
      <c r="Q87" s="155"/>
      <c r="R87" s="155"/>
      <c r="S87" s="19"/>
      <c r="T87" s="19"/>
      <c r="U87" s="19"/>
      <c r="V87" s="19"/>
      <c r="W87" s="19"/>
      <c r="X87" s="19"/>
      <c r="Y87" s="29"/>
      <c r="Z87" s="29"/>
      <c r="AA87" s="29"/>
    </row>
    <row r="88" spans="2:27" ht="17.899999999999999" customHeight="1" x14ac:dyDescent="0.35">
      <c r="B88" s="48" t="s">
        <v>411</v>
      </c>
      <c r="C88" s="49"/>
      <c r="D88" s="50"/>
      <c r="K88" s="20" t="s">
        <v>472</v>
      </c>
      <c r="M88" s="21" t="s">
        <v>473</v>
      </c>
      <c r="O88" s="21" t="s">
        <v>473</v>
      </c>
      <c r="P88" s="155"/>
      <c r="Q88" s="155"/>
      <c r="R88" s="155"/>
      <c r="S88" s="19"/>
      <c r="T88" s="19"/>
      <c r="U88" s="19"/>
      <c r="V88" s="19"/>
      <c r="W88" s="19"/>
      <c r="X88" s="19"/>
      <c r="Y88" s="29"/>
      <c r="Z88" s="29"/>
      <c r="AA88" s="29"/>
    </row>
    <row r="89" spans="2:27" ht="17.899999999999999" customHeight="1" x14ac:dyDescent="0.35">
      <c r="B89" s="48" t="s">
        <v>416</v>
      </c>
      <c r="C89" s="49"/>
      <c r="D89" s="50"/>
      <c r="K89" s="20" t="s">
        <v>474</v>
      </c>
      <c r="M89" s="21" t="s">
        <v>475</v>
      </c>
      <c r="O89" s="21" t="s">
        <v>475</v>
      </c>
      <c r="P89" s="155"/>
      <c r="Q89" s="155"/>
      <c r="R89" s="155"/>
      <c r="S89" s="19"/>
      <c r="T89" s="19"/>
      <c r="U89" s="19"/>
      <c r="V89" s="19"/>
      <c r="W89" s="19"/>
      <c r="X89" s="19"/>
      <c r="Y89" s="29"/>
      <c r="Z89" s="29"/>
      <c r="AA89" s="29"/>
    </row>
    <row r="90" spans="2:27" ht="17.899999999999999" customHeight="1" x14ac:dyDescent="0.35">
      <c r="B90" s="48" t="s">
        <v>420</v>
      </c>
      <c r="C90" s="49"/>
      <c r="D90" s="50"/>
      <c r="K90" s="20" t="s">
        <v>476</v>
      </c>
      <c r="M90" s="21" t="s">
        <v>477</v>
      </c>
      <c r="O90" s="21" t="s">
        <v>477</v>
      </c>
      <c r="P90" s="155"/>
      <c r="Q90" s="155"/>
      <c r="R90" s="155"/>
      <c r="S90" s="19"/>
      <c r="T90" s="19"/>
      <c r="U90" s="19"/>
      <c r="V90" s="19"/>
      <c r="W90" s="19"/>
      <c r="X90" s="19"/>
      <c r="Y90" s="29"/>
      <c r="Z90" s="29"/>
      <c r="AA90" s="29"/>
    </row>
    <row r="91" spans="2:27" ht="17.899999999999999" customHeight="1" x14ac:dyDescent="0.35">
      <c r="B91" s="48" t="s">
        <v>425</v>
      </c>
      <c r="C91" s="49"/>
      <c r="D91" s="50"/>
      <c r="K91" s="20" t="s">
        <v>478</v>
      </c>
      <c r="M91" s="21" t="s">
        <v>479</v>
      </c>
      <c r="O91" s="21" t="s">
        <v>479</v>
      </c>
      <c r="P91" s="155"/>
      <c r="Q91" s="155"/>
      <c r="R91" s="155"/>
      <c r="S91" s="19"/>
      <c r="T91" s="19"/>
      <c r="U91" s="19"/>
      <c r="V91" s="19"/>
      <c r="W91" s="19"/>
      <c r="X91" s="19"/>
      <c r="Y91" s="29"/>
      <c r="Z91" s="29"/>
      <c r="AA91" s="29"/>
    </row>
    <row r="92" spans="2:27" ht="17.899999999999999" customHeight="1" x14ac:dyDescent="0.35">
      <c r="B92" s="48" t="s">
        <v>430</v>
      </c>
      <c r="C92" s="49"/>
      <c r="D92" s="50"/>
      <c r="K92" s="20" t="s">
        <v>480</v>
      </c>
      <c r="M92" s="21" t="s">
        <v>481</v>
      </c>
      <c r="O92" s="21" t="s">
        <v>481</v>
      </c>
      <c r="P92" s="155"/>
      <c r="Q92" s="155"/>
      <c r="R92" s="155"/>
      <c r="S92" s="19"/>
      <c r="T92" s="19"/>
      <c r="U92" s="19"/>
      <c r="V92" s="19"/>
      <c r="W92" s="19"/>
      <c r="X92" s="19"/>
      <c r="Y92" s="29"/>
      <c r="Z92" s="29"/>
      <c r="AA92" s="29"/>
    </row>
    <row r="93" spans="2:27" ht="17.899999999999999" customHeight="1" x14ac:dyDescent="0.35">
      <c r="B93" s="48" t="s">
        <v>433</v>
      </c>
      <c r="C93" s="49"/>
      <c r="D93" s="50"/>
      <c r="K93" s="20" t="s">
        <v>482</v>
      </c>
      <c r="M93" s="21" t="s">
        <v>483</v>
      </c>
      <c r="O93" s="21" t="s">
        <v>483</v>
      </c>
      <c r="P93" s="155"/>
      <c r="Q93" s="155"/>
      <c r="R93" s="155"/>
      <c r="S93" s="19"/>
      <c r="T93" s="19"/>
      <c r="U93" s="19"/>
      <c r="V93" s="19"/>
      <c r="W93" s="19"/>
      <c r="X93" s="19"/>
      <c r="Y93" s="29"/>
      <c r="Z93" s="29"/>
      <c r="AA93" s="29"/>
    </row>
    <row r="94" spans="2:27" ht="17.899999999999999" customHeight="1" x14ac:dyDescent="0.35">
      <c r="B94" s="48" t="s">
        <v>438</v>
      </c>
      <c r="C94" s="49"/>
      <c r="D94" s="50"/>
      <c r="K94" s="20" t="s">
        <v>484</v>
      </c>
      <c r="M94" s="21" t="s">
        <v>485</v>
      </c>
      <c r="O94" s="21" t="s">
        <v>485</v>
      </c>
      <c r="P94" s="155"/>
      <c r="Q94" s="155"/>
      <c r="R94" s="155"/>
      <c r="S94" s="19"/>
      <c r="T94" s="19"/>
      <c r="U94" s="19"/>
      <c r="V94" s="19"/>
      <c r="W94" s="19"/>
      <c r="X94" s="19"/>
      <c r="Y94" s="29"/>
      <c r="Z94" s="29"/>
      <c r="AA94" s="29"/>
    </row>
    <row r="95" spans="2:27" ht="17.899999999999999" customHeight="1" x14ac:dyDescent="0.35">
      <c r="B95" s="48" t="s">
        <v>443</v>
      </c>
      <c r="C95" s="49"/>
      <c r="D95" s="50"/>
      <c r="K95" s="20" t="s">
        <v>486</v>
      </c>
      <c r="M95" s="21" t="s">
        <v>487</v>
      </c>
      <c r="O95" s="21" t="s">
        <v>487</v>
      </c>
      <c r="P95" s="155"/>
      <c r="Q95" s="155"/>
      <c r="R95" s="155"/>
      <c r="S95" s="19"/>
      <c r="T95" s="19"/>
      <c r="U95" s="19"/>
      <c r="V95" s="19"/>
      <c r="W95" s="19"/>
      <c r="X95" s="19"/>
      <c r="Y95" s="29"/>
      <c r="Z95" s="29"/>
      <c r="AA95" s="29"/>
    </row>
    <row r="96" spans="2:27" ht="17.899999999999999" customHeight="1" x14ac:dyDescent="0.35">
      <c r="B96" s="48" t="s">
        <v>446</v>
      </c>
      <c r="C96" s="49"/>
      <c r="D96" s="50"/>
      <c r="K96" s="20" t="s">
        <v>488</v>
      </c>
      <c r="M96" s="21" t="s">
        <v>489</v>
      </c>
      <c r="O96" s="21" t="s">
        <v>489</v>
      </c>
      <c r="P96" s="155"/>
      <c r="Q96" s="155"/>
      <c r="R96" s="155"/>
      <c r="S96" s="19"/>
      <c r="T96" s="19"/>
      <c r="U96" s="19"/>
      <c r="V96" s="19"/>
      <c r="W96" s="19"/>
      <c r="X96" s="19"/>
      <c r="Y96" s="29"/>
      <c r="Z96" s="29"/>
      <c r="AA96" s="29"/>
    </row>
    <row r="97" spans="2:27" ht="17.899999999999999" customHeight="1" thickBot="1" x14ac:dyDescent="0.4">
      <c r="B97" s="51" t="s">
        <v>202</v>
      </c>
      <c r="C97" s="52" t="str">
        <f>O171</f>
        <v>NFCI: OTHER</v>
      </c>
      <c r="D97" s="53" t="e">
        <f>D81-SUM(D82:D96)</f>
        <v>#REF!</v>
      </c>
      <c r="K97" s="20" t="s">
        <v>490</v>
      </c>
      <c r="M97" s="21" t="s">
        <v>491</v>
      </c>
      <c r="O97" s="21" t="s">
        <v>491</v>
      </c>
      <c r="P97" s="155"/>
      <c r="Q97" s="155"/>
      <c r="R97" s="155"/>
      <c r="S97" s="19"/>
      <c r="T97" s="19"/>
      <c r="U97" s="19"/>
      <c r="V97" s="19"/>
      <c r="W97" s="19"/>
      <c r="X97" s="19"/>
      <c r="Y97" s="29"/>
      <c r="Z97" s="29"/>
      <c r="AA97" s="29"/>
    </row>
    <row r="98" spans="2:27" ht="17.899999999999999" customHeight="1" thickBot="1" x14ac:dyDescent="0.4">
      <c r="K98" s="20" t="s">
        <v>492</v>
      </c>
      <c r="M98" s="21" t="s">
        <v>493</v>
      </c>
      <c r="O98" s="21" t="s">
        <v>493</v>
      </c>
      <c r="P98" s="155"/>
      <c r="Q98" s="155"/>
      <c r="R98" s="155"/>
      <c r="S98" s="19"/>
      <c r="T98" s="19"/>
      <c r="U98" s="19"/>
      <c r="V98" s="19"/>
      <c r="W98" s="19"/>
      <c r="X98" s="19"/>
      <c r="Y98" s="29"/>
      <c r="Z98" s="29"/>
      <c r="AA98" s="29"/>
    </row>
    <row r="99" spans="2:27" ht="17.899999999999999" customHeight="1" thickBot="1" x14ac:dyDescent="0.4">
      <c r="B99" s="11" t="s">
        <v>494</v>
      </c>
      <c r="K99" s="20" t="s">
        <v>495</v>
      </c>
      <c r="M99" s="21" t="s">
        <v>496</v>
      </c>
      <c r="O99" s="21" t="s">
        <v>496</v>
      </c>
      <c r="P99" s="155"/>
      <c r="Q99" s="155"/>
      <c r="R99" s="155"/>
      <c r="S99" s="19"/>
      <c r="T99" s="19"/>
      <c r="U99" s="19"/>
      <c r="V99" s="19"/>
      <c r="W99" s="19"/>
      <c r="X99" s="19"/>
      <c r="Y99" s="29"/>
      <c r="Z99" s="29"/>
      <c r="AA99" s="29"/>
    </row>
    <row r="100" spans="2:27" ht="17.899999999999999" customHeight="1" thickBot="1" x14ac:dyDescent="0.4">
      <c r="B100" s="101"/>
      <c r="K100" s="20" t="s">
        <v>497</v>
      </c>
      <c r="M100" s="21" t="s">
        <v>498</v>
      </c>
      <c r="O100" s="21" t="s">
        <v>498</v>
      </c>
      <c r="P100" s="155"/>
      <c r="Q100" s="155"/>
      <c r="R100" s="155"/>
      <c r="S100" s="19"/>
      <c r="T100" s="19"/>
      <c r="U100" s="19"/>
      <c r="V100" s="19"/>
      <c r="W100" s="19"/>
      <c r="X100" s="19"/>
      <c r="Y100" s="29"/>
      <c r="Z100" s="29"/>
      <c r="AA100" s="29"/>
    </row>
    <row r="101" spans="2:27" ht="17.899999999999999" customHeight="1" thickBot="1" x14ac:dyDescent="0.4">
      <c r="K101" s="20" t="s">
        <v>499</v>
      </c>
      <c r="M101" s="21" t="s">
        <v>500</v>
      </c>
      <c r="O101" s="21" t="s">
        <v>500</v>
      </c>
      <c r="P101" s="155"/>
      <c r="Q101" s="155"/>
      <c r="R101" s="155"/>
      <c r="S101" s="19"/>
      <c r="T101" s="19"/>
      <c r="U101" s="19"/>
      <c r="V101" s="19"/>
      <c r="W101" s="19"/>
      <c r="X101" s="19"/>
      <c r="Y101" s="29"/>
      <c r="Z101" s="29"/>
      <c r="AA101" s="29"/>
    </row>
    <row r="102" spans="2:27" ht="17.899999999999999" customHeight="1" thickBot="1" x14ac:dyDescent="0.4">
      <c r="C102" s="238" t="s">
        <v>501</v>
      </c>
      <c r="D102" s="239"/>
      <c r="E102" s="240"/>
      <c r="K102" s="20" t="s">
        <v>502</v>
      </c>
      <c r="M102" s="21" t="s">
        <v>503</v>
      </c>
      <c r="O102" s="21" t="s">
        <v>503</v>
      </c>
      <c r="P102" s="155"/>
      <c r="Q102" s="155"/>
      <c r="R102" s="155"/>
      <c r="S102" s="19"/>
      <c r="T102" s="19"/>
      <c r="U102" s="19"/>
      <c r="V102" s="19"/>
      <c r="W102" s="19"/>
      <c r="X102" s="19"/>
      <c r="Y102" s="29"/>
      <c r="Z102" s="29"/>
      <c r="AA102" s="29"/>
    </row>
    <row r="103" spans="2:27" ht="17.899999999999999" customHeight="1" thickBot="1" x14ac:dyDescent="0.4">
      <c r="B103" s="12" t="s">
        <v>504</v>
      </c>
      <c r="C103" s="56">
        <v>2027</v>
      </c>
      <c r="D103" s="57">
        <v>2028</v>
      </c>
      <c r="E103" s="58">
        <v>2029</v>
      </c>
      <c r="K103" s="20" t="s">
        <v>505</v>
      </c>
      <c r="M103" s="21" t="s">
        <v>506</v>
      </c>
      <c r="O103" s="21" t="s">
        <v>506</v>
      </c>
      <c r="P103" s="155"/>
      <c r="Q103" s="155"/>
      <c r="R103" s="155"/>
      <c r="S103" s="19"/>
      <c r="T103" s="19"/>
      <c r="U103" s="19"/>
      <c r="V103" s="19"/>
      <c r="W103" s="19"/>
      <c r="X103" s="19"/>
      <c r="Y103" s="29"/>
      <c r="Z103" s="29"/>
      <c r="AA103" s="29"/>
    </row>
    <row r="104" spans="2:27" ht="17.899999999999999" customHeight="1" x14ac:dyDescent="0.35">
      <c r="B104" s="99" t="s">
        <v>507</v>
      </c>
      <c r="C104" s="59"/>
      <c r="D104" s="60"/>
      <c r="E104" s="61"/>
      <c r="K104" s="20" t="s">
        <v>508</v>
      </c>
      <c r="M104" s="21" t="s">
        <v>509</v>
      </c>
      <c r="O104" s="21" t="s">
        <v>509</v>
      </c>
      <c r="P104" s="155"/>
      <c r="Q104" s="155"/>
      <c r="R104" s="155"/>
      <c r="S104" s="19"/>
      <c r="T104" s="19"/>
      <c r="U104" s="19"/>
      <c r="V104" s="19"/>
      <c r="W104" s="19"/>
      <c r="X104" s="19"/>
      <c r="Y104" s="29"/>
      <c r="Z104" s="29"/>
      <c r="AA104" s="29"/>
    </row>
    <row r="105" spans="2:27" ht="17.899999999999999" customHeight="1" thickBot="1" x14ac:dyDescent="0.4">
      <c r="B105" s="100" t="s">
        <v>510</v>
      </c>
      <c r="C105" s="62"/>
      <c r="D105" s="63"/>
      <c r="E105" s="64"/>
      <c r="K105" s="20" t="s">
        <v>511</v>
      </c>
      <c r="M105" s="21" t="s">
        <v>512</v>
      </c>
      <c r="O105" s="21" t="s">
        <v>512</v>
      </c>
      <c r="P105" s="155"/>
      <c r="Q105" s="155"/>
      <c r="R105" s="155"/>
      <c r="S105" s="19"/>
      <c r="T105" s="19"/>
      <c r="U105" s="19"/>
      <c r="V105" s="19"/>
      <c r="W105" s="19"/>
      <c r="X105" s="19"/>
      <c r="Y105" s="29"/>
      <c r="Z105" s="29"/>
      <c r="AA105" s="29"/>
    </row>
    <row r="106" spans="2:27" ht="17.899999999999999" customHeight="1" thickBot="1" x14ac:dyDescent="0.4">
      <c r="K106" s="20" t="s">
        <v>513</v>
      </c>
      <c r="M106" s="21" t="s">
        <v>514</v>
      </c>
      <c r="O106" s="21" t="s">
        <v>514</v>
      </c>
      <c r="P106" s="155"/>
      <c r="Q106" s="155"/>
      <c r="R106" s="155"/>
      <c r="S106" s="19"/>
      <c r="T106" s="19"/>
      <c r="U106" s="19"/>
      <c r="V106" s="19"/>
      <c r="W106" s="19"/>
      <c r="X106" s="19"/>
      <c r="Y106" s="29"/>
      <c r="Z106" s="29"/>
      <c r="AA106" s="29"/>
    </row>
    <row r="107" spans="2:27" ht="17.899999999999999" customHeight="1" thickBot="1" x14ac:dyDescent="0.4">
      <c r="B107" s="12" t="s">
        <v>515</v>
      </c>
      <c r="C107" s="65" t="s">
        <v>141</v>
      </c>
      <c r="K107" s="20" t="s">
        <v>516</v>
      </c>
      <c r="M107" s="21" t="s">
        <v>517</v>
      </c>
      <c r="O107" s="21" t="s">
        <v>517</v>
      </c>
      <c r="P107" s="155"/>
      <c r="Q107" s="155"/>
      <c r="R107" s="155"/>
      <c r="S107" s="19"/>
      <c r="T107" s="19"/>
      <c r="U107" s="19"/>
      <c r="V107" s="19"/>
      <c r="W107" s="19"/>
      <c r="X107" s="19"/>
      <c r="Y107" s="29"/>
      <c r="Z107" s="29"/>
      <c r="AA107" s="29"/>
    </row>
    <row r="108" spans="2:27" ht="17.899999999999999" customHeight="1" x14ac:dyDescent="0.35">
      <c r="B108" s="66" t="s">
        <v>148</v>
      </c>
      <c r="C108" s="67"/>
      <c r="K108" s="20" t="s">
        <v>518</v>
      </c>
      <c r="M108" s="21" t="s">
        <v>519</v>
      </c>
      <c r="O108" s="21" t="s">
        <v>519</v>
      </c>
      <c r="P108" s="155"/>
      <c r="Q108" s="155"/>
      <c r="R108" s="155"/>
      <c r="S108" s="19"/>
      <c r="T108" s="19"/>
      <c r="U108" s="19"/>
      <c r="V108" s="19"/>
      <c r="W108" s="19"/>
      <c r="X108" s="19"/>
      <c r="Y108" s="29"/>
      <c r="Z108" s="29"/>
      <c r="AA108" s="29"/>
    </row>
    <row r="109" spans="2:27" ht="17.899999999999999" customHeight="1" x14ac:dyDescent="0.35">
      <c r="B109" s="68" t="s">
        <v>154</v>
      </c>
      <c r="C109" s="69"/>
      <c r="K109" s="20" t="s">
        <v>520</v>
      </c>
      <c r="M109" s="21" t="s">
        <v>521</v>
      </c>
      <c r="O109" s="21" t="s">
        <v>521</v>
      </c>
      <c r="P109" s="155"/>
      <c r="Q109" s="155"/>
      <c r="R109" s="155"/>
      <c r="S109" s="19"/>
      <c r="T109" s="19"/>
      <c r="U109" s="19"/>
      <c r="V109" s="19"/>
      <c r="W109" s="19"/>
      <c r="X109" s="19"/>
      <c r="Y109" s="29"/>
      <c r="Z109" s="29"/>
      <c r="AA109" s="29"/>
    </row>
    <row r="110" spans="2:27" ht="17.899999999999999" customHeight="1" x14ac:dyDescent="0.35">
      <c r="B110" s="68" t="s">
        <v>160</v>
      </c>
      <c r="C110" s="69"/>
      <c r="K110" s="20" t="s">
        <v>522</v>
      </c>
      <c r="M110" s="21" t="s">
        <v>523</v>
      </c>
      <c r="O110" s="21" t="s">
        <v>523</v>
      </c>
      <c r="P110" s="155"/>
      <c r="Q110" s="155"/>
      <c r="R110" s="155"/>
      <c r="S110" s="19"/>
      <c r="T110" s="19"/>
      <c r="U110" s="19"/>
      <c r="V110" s="19"/>
      <c r="W110" s="19"/>
      <c r="X110" s="19"/>
      <c r="Y110" s="29"/>
      <c r="Z110" s="29"/>
      <c r="AA110" s="29"/>
    </row>
    <row r="111" spans="2:27" ht="17.899999999999999" customHeight="1" x14ac:dyDescent="0.35">
      <c r="B111" s="68" t="s">
        <v>166</v>
      </c>
      <c r="C111" s="69"/>
      <c r="K111" s="20" t="s">
        <v>524</v>
      </c>
      <c r="M111" s="21" t="s">
        <v>525</v>
      </c>
      <c r="O111" s="21" t="s">
        <v>525</v>
      </c>
      <c r="P111" s="155"/>
      <c r="Q111" s="155"/>
      <c r="R111" s="155"/>
      <c r="S111" s="19"/>
      <c r="T111" s="19"/>
      <c r="U111" s="19"/>
      <c r="V111" s="19"/>
      <c r="W111" s="19"/>
      <c r="X111" s="19"/>
      <c r="Y111" s="29"/>
      <c r="Z111" s="29"/>
      <c r="AA111" s="29"/>
    </row>
    <row r="112" spans="2:27" ht="17.899999999999999" customHeight="1" thickBot="1" x14ac:dyDescent="0.4">
      <c r="B112" s="70" t="s">
        <v>172</v>
      </c>
      <c r="C112" s="71"/>
      <c r="K112" s="20" t="s">
        <v>526</v>
      </c>
      <c r="M112" s="21" t="s">
        <v>527</v>
      </c>
      <c r="O112" s="21" t="s">
        <v>527</v>
      </c>
      <c r="P112" s="155"/>
      <c r="Q112" s="155"/>
      <c r="R112" s="155"/>
      <c r="S112" s="19"/>
      <c r="T112" s="19"/>
      <c r="U112" s="19"/>
      <c r="V112" s="19"/>
      <c r="W112" s="19"/>
      <c r="X112" s="19"/>
      <c r="Y112" s="29"/>
      <c r="Z112" s="29"/>
      <c r="AA112" s="29"/>
    </row>
    <row r="113" spans="11:27" ht="17.899999999999999" customHeight="1" x14ac:dyDescent="0.35">
      <c r="K113" s="20" t="s">
        <v>528</v>
      </c>
      <c r="M113" s="21" t="s">
        <v>529</v>
      </c>
      <c r="O113" s="21" t="s">
        <v>529</v>
      </c>
      <c r="P113" s="155"/>
      <c r="Q113" s="155"/>
      <c r="R113" s="155"/>
      <c r="S113" s="19"/>
      <c r="T113" s="19"/>
      <c r="U113" s="19"/>
      <c r="V113" s="19"/>
      <c r="W113" s="19"/>
      <c r="X113" s="19"/>
      <c r="Y113" s="29"/>
      <c r="Z113" s="29"/>
      <c r="AA113" s="29"/>
    </row>
    <row r="114" spans="11:27" ht="17.899999999999999" customHeight="1" x14ac:dyDescent="0.35">
      <c r="K114" s="20" t="s">
        <v>530</v>
      </c>
      <c r="M114" s="21" t="s">
        <v>531</v>
      </c>
      <c r="O114" s="21" t="s">
        <v>531</v>
      </c>
      <c r="P114" s="155"/>
      <c r="Q114" s="155"/>
      <c r="R114" s="155"/>
      <c r="S114" s="19"/>
      <c r="T114" s="19"/>
      <c r="U114" s="19"/>
      <c r="V114" s="19"/>
      <c r="W114" s="19"/>
      <c r="X114" s="19"/>
      <c r="Y114" s="29"/>
      <c r="Z114" s="29"/>
      <c r="AA114" s="29"/>
    </row>
    <row r="115" spans="11:27" ht="17.899999999999999" customHeight="1" x14ac:dyDescent="0.35">
      <c r="K115" s="20" t="s">
        <v>532</v>
      </c>
      <c r="M115" s="21" t="s">
        <v>533</v>
      </c>
      <c r="O115" s="21" t="s">
        <v>533</v>
      </c>
      <c r="P115" s="155"/>
      <c r="Q115" s="155"/>
      <c r="R115" s="155"/>
      <c r="S115" s="19"/>
      <c r="T115" s="19"/>
      <c r="U115" s="19"/>
      <c r="V115" s="19"/>
      <c r="W115" s="19"/>
      <c r="X115" s="19"/>
      <c r="Y115" s="29"/>
      <c r="Z115" s="29"/>
      <c r="AA115" s="29"/>
    </row>
    <row r="116" spans="11:27" ht="17.899999999999999" customHeight="1" x14ac:dyDescent="0.35">
      <c r="K116" s="20" t="s">
        <v>534</v>
      </c>
      <c r="M116" s="21" t="s">
        <v>535</v>
      </c>
      <c r="O116" s="21" t="s">
        <v>535</v>
      </c>
      <c r="P116" s="155"/>
      <c r="Q116" s="155"/>
      <c r="R116" s="155"/>
      <c r="S116" s="19"/>
      <c r="T116" s="19"/>
      <c r="U116" s="19"/>
      <c r="V116" s="19"/>
      <c r="W116" s="19"/>
      <c r="X116" s="19"/>
      <c r="Y116" s="29"/>
      <c r="Z116" s="29"/>
      <c r="AA116" s="29"/>
    </row>
    <row r="117" spans="11:27" ht="17.899999999999999" customHeight="1" x14ac:dyDescent="0.35">
      <c r="K117" s="20" t="s">
        <v>536</v>
      </c>
      <c r="M117" s="21" t="s">
        <v>537</v>
      </c>
      <c r="O117" s="21" t="s">
        <v>537</v>
      </c>
      <c r="P117" s="155"/>
      <c r="Q117" s="155"/>
      <c r="R117" s="155"/>
      <c r="S117" s="19"/>
      <c r="T117" s="19"/>
      <c r="U117" s="19"/>
      <c r="V117" s="19"/>
      <c r="W117" s="19"/>
      <c r="X117" s="19"/>
      <c r="Y117" s="29"/>
      <c r="Z117" s="29"/>
      <c r="AA117" s="29"/>
    </row>
    <row r="118" spans="11:27" ht="17.899999999999999" customHeight="1" x14ac:dyDescent="0.35">
      <c r="K118" s="20" t="s">
        <v>538</v>
      </c>
      <c r="M118" s="21" t="s">
        <v>539</v>
      </c>
      <c r="O118" s="21" t="s">
        <v>539</v>
      </c>
      <c r="P118" s="155"/>
      <c r="Q118" s="155"/>
      <c r="R118" s="155"/>
      <c r="S118" s="19"/>
      <c r="T118" s="19"/>
      <c r="U118" s="19"/>
      <c r="V118" s="19"/>
      <c r="W118" s="19"/>
      <c r="X118" s="19"/>
      <c r="Y118" s="29"/>
      <c r="Z118" s="29"/>
      <c r="AA118" s="29"/>
    </row>
    <row r="119" spans="11:27" ht="17.899999999999999" customHeight="1" x14ac:dyDescent="0.35">
      <c r="K119" s="20" t="s">
        <v>540</v>
      </c>
      <c r="M119" s="21" t="s">
        <v>541</v>
      </c>
      <c r="O119" s="21" t="s">
        <v>541</v>
      </c>
      <c r="P119" s="155"/>
      <c r="Q119" s="155"/>
      <c r="R119" s="155"/>
      <c r="S119" s="19"/>
      <c r="T119" s="19"/>
      <c r="U119" s="19"/>
      <c r="V119" s="19"/>
      <c r="W119" s="19"/>
      <c r="X119" s="19"/>
      <c r="Y119" s="29"/>
      <c r="Z119" s="29"/>
      <c r="AA119" s="29"/>
    </row>
    <row r="120" spans="11:27" ht="17.899999999999999" customHeight="1" x14ac:dyDescent="0.35">
      <c r="K120" s="20" t="s">
        <v>542</v>
      </c>
      <c r="M120" s="21" t="s">
        <v>543</v>
      </c>
      <c r="O120" s="21" t="s">
        <v>543</v>
      </c>
      <c r="P120" s="155"/>
      <c r="Q120" s="155"/>
      <c r="R120" s="155"/>
      <c r="S120" s="19"/>
      <c r="T120" s="19"/>
      <c r="U120" s="19"/>
      <c r="V120" s="19"/>
      <c r="W120" s="19"/>
      <c r="X120" s="19"/>
      <c r="Y120" s="29"/>
      <c r="Z120" s="29"/>
      <c r="AA120" s="29"/>
    </row>
    <row r="121" spans="11:27" ht="17.899999999999999" customHeight="1" x14ac:dyDescent="0.35">
      <c r="K121" s="20" t="s">
        <v>544</v>
      </c>
      <c r="M121" s="21" t="s">
        <v>545</v>
      </c>
      <c r="O121" s="21" t="s">
        <v>545</v>
      </c>
      <c r="P121" s="155"/>
      <c r="Q121" s="155"/>
      <c r="R121" s="155"/>
      <c r="S121" s="19"/>
      <c r="T121" s="19"/>
      <c r="U121" s="19"/>
      <c r="V121" s="19"/>
      <c r="W121" s="19"/>
      <c r="X121" s="19"/>
      <c r="Y121" s="29"/>
      <c r="Z121" s="29"/>
      <c r="AA121" s="29"/>
    </row>
    <row r="122" spans="11:27" ht="17.899999999999999" customHeight="1" x14ac:dyDescent="0.35">
      <c r="K122" s="20" t="s">
        <v>546</v>
      </c>
      <c r="M122" s="21" t="s">
        <v>547</v>
      </c>
      <c r="O122" s="21" t="s">
        <v>547</v>
      </c>
      <c r="P122" s="155"/>
      <c r="Q122" s="155"/>
      <c r="R122" s="155"/>
      <c r="S122" s="19"/>
      <c r="T122" s="19"/>
      <c r="U122" s="19"/>
      <c r="V122" s="19"/>
      <c r="W122" s="19"/>
      <c r="X122" s="19"/>
      <c r="Y122" s="29"/>
      <c r="Z122" s="29"/>
      <c r="AA122" s="29"/>
    </row>
    <row r="123" spans="11:27" ht="17.899999999999999" customHeight="1" x14ac:dyDescent="0.35">
      <c r="K123" s="20" t="s">
        <v>548</v>
      </c>
      <c r="M123" s="21" t="s">
        <v>549</v>
      </c>
      <c r="O123" s="21" t="s">
        <v>549</v>
      </c>
      <c r="P123" s="155"/>
      <c r="Q123" s="155"/>
      <c r="R123" s="155"/>
      <c r="S123" s="19"/>
      <c r="T123" s="19"/>
      <c r="U123" s="19"/>
      <c r="V123" s="19"/>
      <c r="W123" s="19"/>
      <c r="X123" s="19"/>
      <c r="Y123" s="29"/>
      <c r="Z123" s="29"/>
      <c r="AA123" s="29"/>
    </row>
    <row r="124" spans="11:27" ht="17.899999999999999" customHeight="1" x14ac:dyDescent="0.35">
      <c r="K124" s="20" t="s">
        <v>550</v>
      </c>
      <c r="M124" s="21" t="s">
        <v>551</v>
      </c>
      <c r="O124" s="21" t="s">
        <v>551</v>
      </c>
      <c r="P124" s="155"/>
      <c r="Q124" s="155"/>
      <c r="R124" s="155"/>
      <c r="S124" s="19"/>
      <c r="T124" s="19"/>
      <c r="U124" s="19"/>
      <c r="V124" s="19"/>
      <c r="W124" s="19"/>
      <c r="X124" s="19"/>
      <c r="Y124" s="29"/>
      <c r="Z124" s="29"/>
      <c r="AA124" s="29"/>
    </row>
    <row r="125" spans="11:27" ht="17.899999999999999" customHeight="1" x14ac:dyDescent="0.35">
      <c r="K125" s="20" t="s">
        <v>552</v>
      </c>
      <c r="M125" s="21" t="s">
        <v>553</v>
      </c>
      <c r="O125" s="21" t="s">
        <v>553</v>
      </c>
      <c r="P125" s="155"/>
      <c r="Q125" s="155"/>
      <c r="R125" s="155"/>
      <c r="S125" s="19"/>
      <c r="T125" s="19"/>
      <c r="U125" s="19"/>
      <c r="V125" s="19"/>
      <c r="W125" s="19"/>
      <c r="X125" s="19"/>
      <c r="Y125" s="29"/>
      <c r="Z125" s="29"/>
      <c r="AA125" s="29"/>
    </row>
    <row r="126" spans="11:27" ht="17.899999999999999" customHeight="1" x14ac:dyDescent="0.35">
      <c r="K126" s="20" t="s">
        <v>554</v>
      </c>
      <c r="M126" s="21" t="s">
        <v>555</v>
      </c>
      <c r="O126" s="21" t="s">
        <v>555</v>
      </c>
      <c r="P126" s="155"/>
      <c r="Q126" s="155"/>
      <c r="R126" s="155"/>
      <c r="S126" s="19"/>
      <c r="T126" s="19"/>
      <c r="U126" s="19"/>
      <c r="V126" s="19"/>
      <c r="W126" s="19"/>
      <c r="X126" s="19"/>
      <c r="Y126" s="29"/>
      <c r="Z126" s="29"/>
      <c r="AA126" s="29"/>
    </row>
    <row r="127" spans="11:27" ht="17.899999999999999" customHeight="1" x14ac:dyDescent="0.35">
      <c r="K127" s="20" t="s">
        <v>556</v>
      </c>
      <c r="M127" s="21" t="s">
        <v>557</v>
      </c>
      <c r="O127" s="21" t="s">
        <v>557</v>
      </c>
      <c r="P127" s="155"/>
      <c r="Q127" s="155"/>
      <c r="R127" s="155"/>
      <c r="S127" s="19"/>
      <c r="T127" s="19"/>
      <c r="U127" s="19"/>
      <c r="V127" s="19"/>
      <c r="W127" s="19"/>
      <c r="X127" s="19"/>
      <c r="Y127" s="29"/>
      <c r="Z127" s="29"/>
      <c r="AA127" s="29"/>
    </row>
    <row r="128" spans="11:27" ht="17.899999999999999" customHeight="1" x14ac:dyDescent="0.35">
      <c r="K128" s="20" t="s">
        <v>558</v>
      </c>
      <c r="M128" s="21" t="s">
        <v>559</v>
      </c>
      <c r="O128" s="21" t="s">
        <v>559</v>
      </c>
      <c r="P128" s="155"/>
      <c r="Q128" s="155"/>
      <c r="R128" s="155"/>
      <c r="S128" s="19"/>
      <c r="T128" s="19"/>
      <c r="U128" s="19"/>
      <c r="V128" s="19"/>
      <c r="W128" s="19"/>
      <c r="X128" s="19"/>
      <c r="Y128" s="29"/>
      <c r="Z128" s="29"/>
      <c r="AA128" s="29"/>
    </row>
    <row r="129" spans="11:27" ht="17.899999999999999" customHeight="1" x14ac:dyDescent="0.35">
      <c r="K129" s="20" t="s">
        <v>560</v>
      </c>
      <c r="M129" s="21" t="s">
        <v>561</v>
      </c>
      <c r="O129" s="21" t="s">
        <v>561</v>
      </c>
      <c r="P129" s="155"/>
      <c r="Q129" s="155"/>
      <c r="R129" s="155"/>
      <c r="S129" s="19"/>
      <c r="T129" s="19"/>
      <c r="U129" s="19"/>
      <c r="V129" s="19"/>
      <c r="W129" s="19"/>
      <c r="X129" s="19"/>
      <c r="Y129" s="29"/>
      <c r="Z129" s="29"/>
      <c r="AA129" s="29"/>
    </row>
    <row r="130" spans="11:27" ht="17.899999999999999" customHeight="1" x14ac:dyDescent="0.35">
      <c r="K130" s="20" t="s">
        <v>562</v>
      </c>
      <c r="M130" s="21" t="s">
        <v>563</v>
      </c>
      <c r="O130" s="21" t="s">
        <v>563</v>
      </c>
      <c r="P130" s="155"/>
      <c r="Q130" s="155"/>
      <c r="R130" s="155"/>
      <c r="S130" s="19"/>
      <c r="T130" s="19"/>
      <c r="U130" s="19"/>
      <c r="V130" s="19"/>
      <c r="W130" s="19"/>
      <c r="X130" s="19"/>
      <c r="Y130" s="29"/>
      <c r="Z130" s="29"/>
      <c r="AA130" s="29"/>
    </row>
    <row r="131" spans="11:27" ht="17.899999999999999" customHeight="1" x14ac:dyDescent="0.35">
      <c r="K131" s="20" t="s">
        <v>564</v>
      </c>
      <c r="M131" s="21" t="s">
        <v>565</v>
      </c>
      <c r="O131" s="21" t="s">
        <v>565</v>
      </c>
      <c r="P131" s="155"/>
      <c r="Q131" s="155"/>
      <c r="R131" s="155"/>
      <c r="S131" s="19"/>
      <c r="T131" s="19"/>
      <c r="U131" s="19"/>
      <c r="V131" s="19"/>
      <c r="W131" s="19"/>
      <c r="X131" s="19"/>
      <c r="Y131" s="29"/>
      <c r="Z131" s="29"/>
      <c r="AA131" s="29"/>
    </row>
    <row r="132" spans="11:27" ht="17.899999999999999" customHeight="1" x14ac:dyDescent="0.35">
      <c r="K132" s="20" t="s">
        <v>566</v>
      </c>
      <c r="M132" s="21" t="s">
        <v>567</v>
      </c>
      <c r="O132" s="21" t="s">
        <v>567</v>
      </c>
      <c r="P132" s="155"/>
      <c r="Q132" s="155"/>
      <c r="R132" s="155"/>
      <c r="S132" s="19"/>
      <c r="T132" s="19"/>
      <c r="U132" s="19"/>
      <c r="V132" s="19"/>
      <c r="W132" s="19"/>
      <c r="X132" s="19"/>
      <c r="Y132" s="29"/>
      <c r="Z132" s="29"/>
      <c r="AA132" s="29"/>
    </row>
    <row r="133" spans="11:27" ht="17.899999999999999" customHeight="1" x14ac:dyDescent="0.35">
      <c r="K133" s="20" t="s">
        <v>568</v>
      </c>
      <c r="M133" s="21" t="s">
        <v>569</v>
      </c>
      <c r="O133" s="21" t="s">
        <v>569</v>
      </c>
      <c r="P133" s="155"/>
      <c r="Q133" s="155"/>
      <c r="R133" s="155"/>
      <c r="S133" s="19"/>
      <c r="T133" s="19"/>
      <c r="U133" s="19"/>
      <c r="V133" s="19"/>
      <c r="W133" s="19"/>
      <c r="X133" s="19"/>
      <c r="Y133" s="29"/>
      <c r="Z133" s="29"/>
      <c r="AA133" s="29"/>
    </row>
    <row r="134" spans="11:27" ht="17.899999999999999" customHeight="1" x14ac:dyDescent="0.35">
      <c r="K134" s="20" t="s">
        <v>570</v>
      </c>
      <c r="M134" s="21" t="s">
        <v>571</v>
      </c>
      <c r="O134" s="21" t="s">
        <v>571</v>
      </c>
      <c r="P134" s="155"/>
      <c r="Q134" s="155"/>
      <c r="R134" s="155"/>
      <c r="S134" s="19"/>
      <c r="T134" s="19"/>
      <c r="U134" s="19"/>
      <c r="V134" s="19"/>
      <c r="W134" s="19"/>
      <c r="X134" s="19"/>
      <c r="Y134" s="29"/>
      <c r="Z134" s="29"/>
      <c r="AA134" s="29"/>
    </row>
    <row r="135" spans="11:27" ht="17.899999999999999" customHeight="1" x14ac:dyDescent="0.35">
      <c r="K135" s="20" t="s">
        <v>572</v>
      </c>
      <c r="M135" s="21" t="s">
        <v>573</v>
      </c>
      <c r="O135" s="21" t="s">
        <v>573</v>
      </c>
      <c r="P135" s="155"/>
      <c r="Q135" s="155"/>
      <c r="R135" s="155"/>
      <c r="S135" s="19"/>
      <c r="T135" s="19"/>
      <c r="U135" s="19"/>
      <c r="V135" s="19"/>
      <c r="W135" s="19"/>
      <c r="X135" s="19"/>
      <c r="Y135" s="29"/>
      <c r="Z135" s="29"/>
      <c r="AA135" s="29"/>
    </row>
    <row r="136" spans="11:27" ht="17.899999999999999" customHeight="1" x14ac:dyDescent="0.35">
      <c r="K136" s="20" t="s">
        <v>574</v>
      </c>
      <c r="M136" s="21" t="s">
        <v>575</v>
      </c>
      <c r="O136" s="21" t="s">
        <v>575</v>
      </c>
      <c r="P136" s="155"/>
      <c r="Q136" s="155"/>
      <c r="R136" s="155"/>
      <c r="S136" s="19"/>
      <c r="T136" s="19"/>
      <c r="U136" s="19"/>
      <c r="V136" s="19"/>
      <c r="W136" s="19"/>
      <c r="X136" s="19"/>
      <c r="Y136" s="29"/>
      <c r="Z136" s="29"/>
      <c r="AA136" s="29"/>
    </row>
    <row r="137" spans="11:27" ht="17.899999999999999" customHeight="1" x14ac:dyDescent="0.35">
      <c r="K137" s="20" t="s">
        <v>576</v>
      </c>
      <c r="M137" s="21" t="s">
        <v>577</v>
      </c>
      <c r="O137" s="21" t="s">
        <v>577</v>
      </c>
      <c r="P137" s="155"/>
      <c r="Q137" s="155"/>
      <c r="R137" s="155"/>
      <c r="S137" s="19"/>
      <c r="T137" s="19"/>
      <c r="U137" s="19"/>
      <c r="V137" s="19"/>
      <c r="W137" s="19"/>
      <c r="X137" s="19"/>
      <c r="Y137" s="29"/>
      <c r="Z137" s="29"/>
      <c r="AA137" s="29"/>
    </row>
    <row r="138" spans="11:27" ht="17.899999999999999" customHeight="1" x14ac:dyDescent="0.35">
      <c r="K138" s="20" t="s">
        <v>578</v>
      </c>
      <c r="M138" s="21" t="s">
        <v>579</v>
      </c>
      <c r="O138" s="21" t="s">
        <v>579</v>
      </c>
      <c r="P138" s="155"/>
      <c r="Q138" s="155"/>
      <c r="R138" s="155"/>
      <c r="S138" s="19"/>
      <c r="T138" s="19"/>
      <c r="U138" s="19"/>
      <c r="V138" s="19"/>
      <c r="W138" s="19"/>
      <c r="X138" s="19"/>
      <c r="Y138" s="29"/>
      <c r="Z138" s="29"/>
      <c r="AA138" s="29"/>
    </row>
    <row r="139" spans="11:27" ht="17.899999999999999" customHeight="1" x14ac:dyDescent="0.35">
      <c r="K139" s="20" t="s">
        <v>580</v>
      </c>
      <c r="M139" s="21" t="s">
        <v>581</v>
      </c>
      <c r="O139" s="21" t="s">
        <v>581</v>
      </c>
      <c r="P139" s="155"/>
      <c r="Q139" s="155"/>
      <c r="R139" s="155"/>
      <c r="S139" s="19"/>
      <c r="T139" s="19"/>
      <c r="U139" s="19"/>
      <c r="V139" s="19"/>
      <c r="W139" s="19"/>
      <c r="X139" s="19"/>
      <c r="Y139" s="29"/>
      <c r="Z139" s="29"/>
      <c r="AA139" s="29"/>
    </row>
    <row r="140" spans="11:27" ht="17.899999999999999" customHeight="1" x14ac:dyDescent="0.35">
      <c r="K140" s="20" t="s">
        <v>582</v>
      </c>
      <c r="M140" s="21" t="s">
        <v>583</v>
      </c>
      <c r="O140" s="21" t="s">
        <v>583</v>
      </c>
      <c r="P140" s="155"/>
      <c r="Q140" s="155"/>
      <c r="R140" s="155"/>
      <c r="S140" s="19"/>
      <c r="T140" s="19"/>
      <c r="U140" s="19"/>
      <c r="V140" s="19"/>
      <c r="W140" s="19"/>
      <c r="X140" s="19"/>
      <c r="Y140" s="29"/>
      <c r="Z140" s="29"/>
      <c r="AA140" s="29"/>
    </row>
    <row r="141" spans="11:27" ht="17.899999999999999" customHeight="1" x14ac:dyDescent="0.35">
      <c r="K141" s="20" t="s">
        <v>584</v>
      </c>
      <c r="M141" s="21" t="s">
        <v>585</v>
      </c>
      <c r="O141" s="21" t="s">
        <v>585</v>
      </c>
      <c r="P141" s="155"/>
      <c r="Q141" s="155"/>
      <c r="R141" s="155"/>
      <c r="S141" s="19"/>
      <c r="T141" s="19"/>
      <c r="U141" s="19"/>
      <c r="V141" s="19"/>
      <c r="W141" s="19"/>
      <c r="X141" s="19"/>
      <c r="Y141" s="29"/>
      <c r="Z141" s="29"/>
      <c r="AA141" s="29"/>
    </row>
    <row r="142" spans="11:27" ht="17.899999999999999" customHeight="1" x14ac:dyDescent="0.35">
      <c r="K142" s="20" t="s">
        <v>586</v>
      </c>
      <c r="M142" s="21" t="s">
        <v>587</v>
      </c>
      <c r="O142" s="21" t="s">
        <v>587</v>
      </c>
      <c r="P142" s="155"/>
      <c r="Q142" s="155"/>
      <c r="R142" s="155"/>
      <c r="S142" s="19"/>
      <c r="T142" s="19"/>
      <c r="U142" s="19"/>
      <c r="V142" s="19"/>
      <c r="W142" s="19"/>
      <c r="X142" s="19"/>
      <c r="Y142" s="29"/>
      <c r="Z142" s="29"/>
      <c r="AA142" s="29"/>
    </row>
    <row r="143" spans="11:27" ht="17.899999999999999" customHeight="1" x14ac:dyDescent="0.35">
      <c r="K143" s="20" t="s">
        <v>588</v>
      </c>
      <c r="M143" s="21" t="s">
        <v>589</v>
      </c>
      <c r="O143" s="21" t="s">
        <v>589</v>
      </c>
      <c r="P143" s="155"/>
      <c r="Q143" s="155"/>
      <c r="R143" s="155"/>
      <c r="S143" s="19"/>
      <c r="T143" s="19"/>
      <c r="U143" s="19"/>
      <c r="V143" s="19"/>
      <c r="W143" s="19"/>
      <c r="X143" s="19"/>
      <c r="Y143" s="29"/>
      <c r="Z143" s="29"/>
      <c r="AA143" s="29"/>
    </row>
    <row r="144" spans="11:27" ht="17.899999999999999" customHeight="1" x14ac:dyDescent="0.35">
      <c r="K144" s="20" t="s">
        <v>590</v>
      </c>
      <c r="M144" s="21" t="s">
        <v>591</v>
      </c>
      <c r="O144" s="21" t="s">
        <v>591</v>
      </c>
      <c r="P144" s="155"/>
      <c r="Q144" s="155"/>
      <c r="R144" s="155"/>
      <c r="S144" s="19"/>
      <c r="T144" s="19"/>
      <c r="U144" s="19"/>
      <c r="V144" s="19"/>
      <c r="W144" s="19"/>
      <c r="X144" s="19"/>
      <c r="Y144" s="29"/>
      <c r="Z144" s="29"/>
      <c r="AA144" s="29"/>
    </row>
    <row r="145" spans="11:27" ht="17.899999999999999" customHeight="1" x14ac:dyDescent="0.35">
      <c r="K145" s="20" t="s">
        <v>592</v>
      </c>
      <c r="M145" s="21" t="s">
        <v>593</v>
      </c>
      <c r="O145" s="21" t="s">
        <v>593</v>
      </c>
      <c r="P145" s="155"/>
      <c r="Q145" s="155"/>
      <c r="R145" s="155"/>
      <c r="S145" s="19"/>
      <c r="T145" s="19"/>
      <c r="U145" s="19"/>
      <c r="V145" s="19"/>
      <c r="W145" s="19"/>
      <c r="X145" s="19"/>
      <c r="Y145" s="29"/>
      <c r="Z145" s="29"/>
      <c r="AA145" s="29"/>
    </row>
    <row r="146" spans="11:27" ht="17.899999999999999" customHeight="1" x14ac:dyDescent="0.35">
      <c r="K146" s="20" t="s">
        <v>594</v>
      </c>
      <c r="M146" s="21" t="s">
        <v>595</v>
      </c>
      <c r="O146" s="21" t="s">
        <v>595</v>
      </c>
      <c r="P146" s="155"/>
      <c r="Q146" s="155"/>
      <c r="R146" s="155"/>
      <c r="S146" s="19"/>
      <c r="T146" s="19"/>
      <c r="U146" s="19"/>
      <c r="V146" s="19"/>
      <c r="W146" s="19"/>
      <c r="X146" s="19"/>
      <c r="Y146" s="29"/>
      <c r="Z146" s="29"/>
      <c r="AA146" s="29"/>
    </row>
    <row r="147" spans="11:27" ht="17.899999999999999" customHeight="1" x14ac:dyDescent="0.35">
      <c r="K147" s="20" t="s">
        <v>596</v>
      </c>
      <c r="M147" s="21" t="s">
        <v>597</v>
      </c>
      <c r="O147" s="21" t="s">
        <v>597</v>
      </c>
      <c r="P147" s="155"/>
      <c r="Q147" s="155"/>
      <c r="R147" s="155"/>
      <c r="S147" s="19"/>
      <c r="T147" s="19"/>
      <c r="U147" s="19"/>
      <c r="V147" s="19"/>
      <c r="W147" s="19"/>
      <c r="X147" s="19"/>
      <c r="Y147" s="29"/>
      <c r="Z147" s="29"/>
      <c r="AA147" s="29"/>
    </row>
    <row r="148" spans="11:27" ht="17.899999999999999" customHeight="1" x14ac:dyDescent="0.35">
      <c r="K148" s="20" t="s">
        <v>598</v>
      </c>
      <c r="M148" s="21" t="s">
        <v>599</v>
      </c>
      <c r="O148" s="21" t="s">
        <v>599</v>
      </c>
      <c r="P148" s="155"/>
      <c r="Q148" s="155"/>
      <c r="R148" s="155"/>
      <c r="S148" s="19"/>
      <c r="T148" s="19"/>
      <c r="U148" s="19"/>
      <c r="V148" s="19"/>
      <c r="W148" s="19"/>
      <c r="X148" s="19"/>
      <c r="Y148" s="29"/>
      <c r="Z148" s="29"/>
      <c r="AA148" s="29"/>
    </row>
    <row r="149" spans="11:27" ht="17.899999999999999" customHeight="1" x14ac:dyDescent="0.35">
      <c r="K149" s="20" t="s">
        <v>600</v>
      </c>
      <c r="M149" s="21" t="s">
        <v>601</v>
      </c>
      <c r="O149" s="21" t="s">
        <v>601</v>
      </c>
      <c r="P149" s="155"/>
      <c r="Q149" s="155"/>
      <c r="R149" s="155"/>
      <c r="S149" s="19"/>
      <c r="T149" s="19"/>
      <c r="U149" s="19"/>
      <c r="V149" s="19"/>
      <c r="W149" s="19"/>
      <c r="X149" s="19"/>
      <c r="Y149" s="29"/>
      <c r="Z149" s="29"/>
      <c r="AA149" s="29"/>
    </row>
    <row r="150" spans="11:27" ht="17.899999999999999" customHeight="1" x14ac:dyDescent="0.35">
      <c r="K150" s="20" t="s">
        <v>602</v>
      </c>
      <c r="M150" s="21" t="s">
        <v>603</v>
      </c>
      <c r="O150" s="21" t="s">
        <v>603</v>
      </c>
      <c r="P150" s="155"/>
      <c r="Q150" s="155"/>
      <c r="R150" s="155"/>
      <c r="S150" s="19"/>
      <c r="T150" s="19"/>
      <c r="U150" s="19"/>
      <c r="V150" s="19"/>
      <c r="W150" s="19"/>
      <c r="X150" s="19"/>
      <c r="Y150" s="29"/>
      <c r="Z150" s="29"/>
      <c r="AA150" s="29"/>
    </row>
    <row r="151" spans="11:27" ht="17.899999999999999" customHeight="1" x14ac:dyDescent="0.35">
      <c r="K151" s="20" t="s">
        <v>604</v>
      </c>
      <c r="M151" s="21" t="s">
        <v>605</v>
      </c>
      <c r="O151" s="21" t="s">
        <v>605</v>
      </c>
      <c r="P151" s="155"/>
      <c r="Q151" s="155"/>
      <c r="R151" s="155"/>
      <c r="S151" s="19"/>
      <c r="T151" s="19"/>
      <c r="U151" s="19"/>
      <c r="V151" s="19"/>
      <c r="W151" s="19"/>
      <c r="X151" s="19"/>
      <c r="Y151" s="29"/>
      <c r="Z151" s="29"/>
      <c r="AA151" s="29"/>
    </row>
    <row r="152" spans="11:27" ht="17.899999999999999" customHeight="1" x14ac:dyDescent="0.35">
      <c r="K152" s="20" t="s">
        <v>606</v>
      </c>
      <c r="M152" s="21" t="s">
        <v>607</v>
      </c>
      <c r="O152" s="21" t="s">
        <v>607</v>
      </c>
      <c r="P152" s="155"/>
      <c r="Q152" s="155"/>
      <c r="R152" s="155"/>
      <c r="S152" s="19"/>
      <c r="T152" s="19"/>
      <c r="U152" s="19"/>
      <c r="V152" s="19"/>
      <c r="W152" s="19"/>
      <c r="X152" s="19"/>
      <c r="Y152" s="29"/>
      <c r="Z152" s="29"/>
      <c r="AA152" s="29"/>
    </row>
    <row r="153" spans="11:27" ht="17.899999999999999" customHeight="1" x14ac:dyDescent="0.35">
      <c r="K153" s="20" t="s">
        <v>608</v>
      </c>
      <c r="M153" s="21" t="s">
        <v>609</v>
      </c>
      <c r="O153" s="21" t="s">
        <v>609</v>
      </c>
      <c r="P153" s="155"/>
      <c r="Q153" s="155"/>
      <c r="R153" s="155"/>
      <c r="S153" s="19"/>
      <c r="T153" s="19"/>
      <c r="U153" s="19"/>
      <c r="V153" s="19"/>
      <c r="W153" s="19"/>
      <c r="X153" s="19"/>
      <c r="Y153" s="29"/>
      <c r="Z153" s="29"/>
      <c r="AA153" s="29"/>
    </row>
    <row r="154" spans="11:27" ht="17.899999999999999" customHeight="1" x14ac:dyDescent="0.35">
      <c r="K154" s="20" t="s">
        <v>610</v>
      </c>
      <c r="M154" s="21" t="s">
        <v>611</v>
      </c>
      <c r="O154" s="21" t="s">
        <v>611</v>
      </c>
      <c r="P154" s="155"/>
      <c r="Q154" s="155"/>
      <c r="R154" s="155"/>
      <c r="S154" s="19"/>
      <c r="T154" s="19"/>
      <c r="U154" s="19"/>
      <c r="V154" s="19"/>
      <c r="W154" s="19"/>
      <c r="X154" s="19"/>
      <c r="Y154" s="29"/>
      <c r="Z154" s="29"/>
      <c r="AA154" s="29"/>
    </row>
    <row r="155" spans="11:27" ht="17.899999999999999" customHeight="1" x14ac:dyDescent="0.35">
      <c r="K155" s="20" t="s">
        <v>612</v>
      </c>
      <c r="M155" s="21" t="s">
        <v>613</v>
      </c>
      <c r="O155" s="21" t="s">
        <v>613</v>
      </c>
      <c r="P155" s="155"/>
      <c r="Q155" s="155"/>
      <c r="R155" s="155"/>
      <c r="S155" s="19"/>
      <c r="T155" s="19"/>
      <c r="U155" s="19"/>
      <c r="V155" s="19"/>
      <c r="W155" s="19"/>
      <c r="X155" s="19"/>
      <c r="Y155" s="29"/>
      <c r="Z155" s="29"/>
      <c r="AA155" s="29"/>
    </row>
    <row r="156" spans="11:27" ht="17.899999999999999" customHeight="1" x14ac:dyDescent="0.35">
      <c r="K156" s="20" t="s">
        <v>614</v>
      </c>
      <c r="M156" s="21" t="s">
        <v>615</v>
      </c>
      <c r="O156" s="21" t="s">
        <v>615</v>
      </c>
      <c r="P156" s="155"/>
      <c r="Q156" s="155"/>
      <c r="R156" s="155"/>
      <c r="S156" s="19"/>
      <c r="T156" s="19"/>
      <c r="U156" s="19"/>
      <c r="V156" s="19"/>
      <c r="W156" s="19"/>
      <c r="X156" s="19"/>
      <c r="Y156" s="29"/>
      <c r="Z156" s="29"/>
      <c r="AA156" s="29"/>
    </row>
    <row r="157" spans="11:27" ht="17.899999999999999" customHeight="1" x14ac:dyDescent="0.35">
      <c r="K157" s="20" t="s">
        <v>616</v>
      </c>
      <c r="M157" s="21" t="s">
        <v>617</v>
      </c>
      <c r="O157" s="21" t="s">
        <v>617</v>
      </c>
      <c r="P157" s="155"/>
      <c r="Q157" s="155"/>
      <c r="R157" s="155"/>
      <c r="S157" s="19"/>
      <c r="T157" s="19"/>
      <c r="U157" s="19"/>
      <c r="V157" s="19"/>
      <c r="W157" s="19"/>
      <c r="X157" s="19"/>
      <c r="Y157" s="29"/>
      <c r="Z157" s="29"/>
      <c r="AA157" s="29"/>
    </row>
    <row r="158" spans="11:27" ht="17.899999999999999" customHeight="1" x14ac:dyDescent="0.35">
      <c r="K158" s="20" t="s">
        <v>618</v>
      </c>
      <c r="M158" s="21" t="s">
        <v>619</v>
      </c>
      <c r="O158" s="21" t="s">
        <v>619</v>
      </c>
      <c r="P158" s="155"/>
      <c r="Q158" s="155"/>
      <c r="R158" s="155"/>
      <c r="S158" s="19"/>
      <c r="T158" s="19"/>
      <c r="U158" s="19"/>
      <c r="V158" s="19"/>
      <c r="W158" s="19"/>
      <c r="X158" s="19"/>
      <c r="Y158" s="29"/>
      <c r="Z158" s="29"/>
      <c r="AA158" s="29"/>
    </row>
    <row r="159" spans="11:27" ht="17.899999999999999" customHeight="1" x14ac:dyDescent="0.35">
      <c r="K159" s="20" t="s">
        <v>620</v>
      </c>
      <c r="M159" s="21" t="s">
        <v>621</v>
      </c>
      <c r="O159" s="21" t="s">
        <v>621</v>
      </c>
      <c r="P159" s="155"/>
      <c r="Q159" s="155"/>
      <c r="R159" s="155"/>
      <c r="S159" s="19"/>
      <c r="T159" s="19"/>
      <c r="U159" s="19"/>
      <c r="V159" s="19"/>
      <c r="W159" s="19"/>
      <c r="X159" s="19"/>
      <c r="Y159" s="29"/>
      <c r="Z159" s="29"/>
      <c r="AA159" s="29"/>
    </row>
    <row r="160" spans="11:27" ht="17.899999999999999" customHeight="1" x14ac:dyDescent="0.35">
      <c r="K160" s="20" t="s">
        <v>622</v>
      </c>
      <c r="M160" s="21" t="s">
        <v>623</v>
      </c>
      <c r="O160" s="21" t="s">
        <v>623</v>
      </c>
      <c r="P160" s="155"/>
      <c r="Q160" s="155"/>
      <c r="R160" s="155"/>
      <c r="S160" s="19"/>
      <c r="T160" s="19"/>
      <c r="U160" s="19"/>
      <c r="V160" s="19"/>
      <c r="W160" s="19"/>
      <c r="X160" s="19"/>
      <c r="Y160" s="29"/>
      <c r="Z160" s="29"/>
      <c r="AA160" s="29"/>
    </row>
    <row r="161" spans="11:27" ht="17.899999999999999" customHeight="1" x14ac:dyDescent="0.35">
      <c r="K161" s="20" t="s">
        <v>624</v>
      </c>
      <c r="M161" s="21" t="s">
        <v>625</v>
      </c>
      <c r="O161" s="21" t="s">
        <v>625</v>
      </c>
      <c r="P161" s="155"/>
      <c r="Q161" s="155"/>
      <c r="R161" s="155"/>
      <c r="S161" s="19"/>
      <c r="T161" s="19"/>
      <c r="U161" s="19"/>
      <c r="V161" s="19"/>
      <c r="W161" s="19"/>
      <c r="X161" s="19"/>
      <c r="Y161" s="29"/>
      <c r="Z161" s="29"/>
      <c r="AA161" s="29"/>
    </row>
    <row r="162" spans="11:27" ht="17.899999999999999" customHeight="1" x14ac:dyDescent="0.35">
      <c r="K162" s="20" t="s">
        <v>626</v>
      </c>
      <c r="M162" s="21" t="s">
        <v>627</v>
      </c>
      <c r="O162" s="21" t="s">
        <v>627</v>
      </c>
      <c r="P162" s="155"/>
      <c r="Q162" s="155"/>
      <c r="R162" s="155"/>
      <c r="S162" s="19"/>
      <c r="T162" s="19"/>
      <c r="U162" s="19"/>
      <c r="V162" s="19"/>
      <c r="W162" s="19"/>
      <c r="X162" s="19"/>
      <c r="Y162" s="29"/>
      <c r="Z162" s="29"/>
      <c r="AA162" s="29"/>
    </row>
    <row r="163" spans="11:27" ht="17.899999999999999" customHeight="1" x14ac:dyDescent="0.35">
      <c r="K163" s="20" t="s">
        <v>628</v>
      </c>
      <c r="M163" s="21" t="s">
        <v>629</v>
      </c>
      <c r="O163" s="21" t="s">
        <v>629</v>
      </c>
      <c r="P163" s="155"/>
      <c r="Q163" s="155"/>
      <c r="R163" s="155"/>
      <c r="S163" s="19"/>
      <c r="T163" s="19"/>
      <c r="U163" s="19"/>
      <c r="V163" s="19"/>
      <c r="W163" s="19"/>
      <c r="X163" s="19"/>
      <c r="Y163" s="29"/>
      <c r="Z163" s="29"/>
      <c r="AA163" s="29"/>
    </row>
    <row r="164" spans="11:27" ht="17.899999999999999" customHeight="1" x14ac:dyDescent="0.35">
      <c r="K164" s="20" t="s">
        <v>630</v>
      </c>
      <c r="M164" s="21" t="s">
        <v>631</v>
      </c>
      <c r="O164" s="21" t="s">
        <v>631</v>
      </c>
      <c r="P164" s="155"/>
      <c r="Q164" s="155"/>
      <c r="R164" s="155"/>
      <c r="S164" s="19"/>
      <c r="T164" s="19"/>
      <c r="U164" s="19"/>
      <c r="V164" s="19"/>
      <c r="W164" s="19"/>
      <c r="X164" s="19"/>
      <c r="Y164" s="29"/>
      <c r="Z164" s="29"/>
      <c r="AA164" s="29"/>
    </row>
    <row r="165" spans="11:27" ht="17.899999999999999" customHeight="1" x14ac:dyDescent="0.35">
      <c r="K165" s="20" t="s">
        <v>632</v>
      </c>
      <c r="M165" s="21" t="s">
        <v>633</v>
      </c>
      <c r="O165" s="21" t="s">
        <v>633</v>
      </c>
      <c r="P165" s="155"/>
      <c r="Q165" s="155"/>
      <c r="R165" s="155"/>
      <c r="S165" s="19"/>
      <c r="T165" s="19"/>
      <c r="U165" s="19"/>
      <c r="V165" s="19"/>
      <c r="W165" s="19"/>
      <c r="X165" s="19"/>
      <c r="Y165" s="29"/>
      <c r="Z165" s="29"/>
      <c r="AA165" s="29"/>
    </row>
    <row r="166" spans="11:27" ht="17.899999999999999" customHeight="1" x14ac:dyDescent="0.35">
      <c r="K166" s="20" t="s">
        <v>634</v>
      </c>
      <c r="M166" s="21" t="s">
        <v>635</v>
      </c>
      <c r="O166" s="21" t="s">
        <v>635</v>
      </c>
      <c r="P166" s="155"/>
      <c r="Q166" s="155"/>
      <c r="R166" s="155"/>
      <c r="S166" s="19"/>
      <c r="T166" s="19"/>
      <c r="U166" s="19"/>
      <c r="V166" s="19"/>
      <c r="W166" s="19"/>
      <c r="X166" s="19"/>
      <c r="Y166" s="29"/>
      <c r="Z166" s="29"/>
      <c r="AA166" s="29"/>
    </row>
    <row r="167" spans="11:27" ht="17.899999999999999" customHeight="1" x14ac:dyDescent="0.35">
      <c r="K167" s="20" t="s">
        <v>636</v>
      </c>
      <c r="M167" s="21" t="s">
        <v>637</v>
      </c>
      <c r="O167" s="21" t="s">
        <v>637</v>
      </c>
      <c r="P167" s="155"/>
      <c r="Q167" s="155"/>
      <c r="R167" s="155"/>
      <c r="S167" s="19"/>
      <c r="T167" s="19"/>
      <c r="U167" s="19"/>
      <c r="V167" s="19"/>
      <c r="W167" s="19"/>
      <c r="X167" s="19"/>
      <c r="Y167" s="29"/>
      <c r="Z167" s="29"/>
      <c r="AA167" s="29"/>
    </row>
    <row r="168" spans="11:27" ht="17.899999999999999" customHeight="1" x14ac:dyDescent="0.35">
      <c r="K168" s="20" t="s">
        <v>638</v>
      </c>
      <c r="M168" s="21" t="s">
        <v>639</v>
      </c>
      <c r="O168" s="21" t="s">
        <v>639</v>
      </c>
      <c r="P168" s="155"/>
      <c r="Q168" s="155"/>
      <c r="R168" s="155"/>
      <c r="S168" s="19"/>
      <c r="T168" s="19"/>
      <c r="U168" s="19"/>
      <c r="V168" s="19"/>
      <c r="W168" s="19"/>
      <c r="X168" s="19"/>
      <c r="Y168" s="29"/>
      <c r="Z168" s="29"/>
      <c r="AA168" s="29"/>
    </row>
    <row r="169" spans="11:27" ht="17.899999999999999" customHeight="1" x14ac:dyDescent="0.35">
      <c r="K169" s="20" t="s">
        <v>640</v>
      </c>
      <c r="M169" s="21" t="s">
        <v>641</v>
      </c>
      <c r="O169" s="21" t="s">
        <v>641</v>
      </c>
      <c r="P169" s="155"/>
      <c r="Q169" s="155"/>
      <c r="R169" s="155"/>
      <c r="S169" s="19"/>
      <c r="T169" s="19"/>
      <c r="U169" s="19"/>
      <c r="V169" s="19"/>
      <c r="W169" s="19"/>
      <c r="X169" s="19"/>
      <c r="Y169" s="29"/>
      <c r="Z169" s="29"/>
      <c r="AA169" s="29"/>
    </row>
    <row r="170" spans="11:27" ht="17.899999999999999" customHeight="1" x14ac:dyDescent="0.35">
      <c r="K170" s="20" t="s">
        <v>642</v>
      </c>
      <c r="M170" s="21" t="s">
        <v>643</v>
      </c>
      <c r="O170" s="21" t="s">
        <v>643</v>
      </c>
      <c r="P170" s="72"/>
      <c r="Q170" s="72"/>
      <c r="R170" s="72"/>
      <c r="V170" s="19"/>
      <c r="W170" s="19"/>
      <c r="X170" s="19"/>
      <c r="Y170" s="29"/>
      <c r="Z170" s="29"/>
      <c r="AA170" s="29"/>
    </row>
    <row r="171" spans="11:27" ht="17.899999999999999" customHeight="1" x14ac:dyDescent="0.35">
      <c r="K171" s="20" t="s">
        <v>644</v>
      </c>
      <c r="M171" s="21" t="s">
        <v>645</v>
      </c>
      <c r="O171" s="21" t="s">
        <v>645</v>
      </c>
      <c r="P171" s="22">
        <f>MAX(P11:P169)</f>
        <v>0</v>
      </c>
      <c r="Q171" s="22">
        <f>MAX(Q11:Q169)</f>
        <v>0</v>
      </c>
      <c r="R171" s="22">
        <f>MAX(R11:R169)</f>
        <v>0</v>
      </c>
      <c r="T171" s="73"/>
      <c r="U171" s="73"/>
      <c r="V171" s="73"/>
    </row>
    <row r="172" spans="11:27" ht="17.899999999999999" customHeight="1" thickBot="1" x14ac:dyDescent="0.4">
      <c r="K172" s="20" t="s">
        <v>646</v>
      </c>
      <c r="M172" s="74" t="s">
        <v>647</v>
      </c>
      <c r="O172" s="74" t="s">
        <v>647</v>
      </c>
      <c r="P172" s="75">
        <f>MIN(P11:P169)</f>
        <v>0</v>
      </c>
      <c r="Q172" s="75">
        <f>MIN(Q11:Q169)</f>
        <v>0</v>
      </c>
      <c r="R172" s="75">
        <f>MIN(R11:R169)</f>
        <v>0</v>
      </c>
      <c r="T172" s="73"/>
      <c r="U172" s="73"/>
      <c r="V172" s="73"/>
    </row>
    <row r="173" spans="11:27" ht="17.899999999999999" customHeight="1" x14ac:dyDescent="0.35">
      <c r="K173" s="20" t="s">
        <v>648</v>
      </c>
    </row>
    <row r="174" spans="11:27" ht="17.899999999999999" customHeight="1" x14ac:dyDescent="0.35">
      <c r="K174" s="20" t="s">
        <v>649</v>
      </c>
    </row>
    <row r="175" spans="11:27" ht="17.899999999999999" customHeight="1" x14ac:dyDescent="0.35">
      <c r="K175" s="20" t="s">
        <v>650</v>
      </c>
    </row>
    <row r="176" spans="11:27" ht="17.899999999999999" customHeight="1" x14ac:dyDescent="0.35">
      <c r="K176" s="20" t="s">
        <v>651</v>
      </c>
    </row>
    <row r="177" spans="11:11" ht="17.899999999999999" customHeight="1" x14ac:dyDescent="0.35">
      <c r="K177" s="20" t="s">
        <v>652</v>
      </c>
    </row>
    <row r="178" spans="11:11" ht="17.899999999999999" customHeight="1" x14ac:dyDescent="0.35">
      <c r="K178" s="20" t="s">
        <v>653</v>
      </c>
    </row>
    <row r="179" spans="11:11" ht="17.899999999999999" customHeight="1" x14ac:dyDescent="0.35">
      <c r="K179" s="20" t="s">
        <v>654</v>
      </c>
    </row>
    <row r="180" spans="11:11" ht="17.899999999999999" customHeight="1" x14ac:dyDescent="0.35">
      <c r="K180" s="20" t="s">
        <v>655</v>
      </c>
    </row>
    <row r="181" spans="11:11" ht="17.899999999999999" customHeight="1" x14ac:dyDescent="0.35">
      <c r="K181" s="20" t="s">
        <v>656</v>
      </c>
    </row>
    <row r="182" spans="11:11" ht="17.899999999999999" customHeight="1" x14ac:dyDescent="0.35">
      <c r="K182" s="20" t="s">
        <v>657</v>
      </c>
    </row>
    <row r="183" spans="11:11" ht="17.899999999999999" customHeight="1" x14ac:dyDescent="0.35">
      <c r="K183" s="20" t="s">
        <v>658</v>
      </c>
    </row>
    <row r="184" spans="11:11" ht="17.899999999999999" customHeight="1" x14ac:dyDescent="0.35">
      <c r="K184" s="20" t="s">
        <v>659</v>
      </c>
    </row>
    <row r="185" spans="11:11" ht="17.899999999999999" customHeight="1" x14ac:dyDescent="0.35">
      <c r="K185" s="20" t="s">
        <v>660</v>
      </c>
    </row>
    <row r="186" spans="11:11" ht="17.899999999999999" customHeight="1" x14ac:dyDescent="0.35">
      <c r="K186" s="20" t="s">
        <v>661</v>
      </c>
    </row>
    <row r="187" spans="11:11" ht="17.899999999999999" customHeight="1" x14ac:dyDescent="0.35">
      <c r="K187" s="20" t="s">
        <v>662</v>
      </c>
    </row>
    <row r="188" spans="11:11" ht="17.899999999999999" customHeight="1" x14ac:dyDescent="0.35">
      <c r="K188" s="20" t="s">
        <v>663</v>
      </c>
    </row>
    <row r="189" spans="11:11" ht="17.899999999999999" customHeight="1" x14ac:dyDescent="0.35">
      <c r="K189" s="20" t="s">
        <v>664</v>
      </c>
    </row>
    <row r="190" spans="11:11" ht="17.899999999999999" customHeight="1" x14ac:dyDescent="0.35">
      <c r="K190" s="20" t="s">
        <v>665</v>
      </c>
    </row>
    <row r="191" spans="11:11" ht="17.899999999999999" customHeight="1" x14ac:dyDescent="0.35">
      <c r="K191" s="20" t="s">
        <v>666</v>
      </c>
    </row>
    <row r="192" spans="11:11" ht="17.899999999999999" customHeight="1" x14ac:dyDescent="0.35">
      <c r="K192" s="20" t="s">
        <v>667</v>
      </c>
    </row>
    <row r="193" spans="11:11" ht="17.899999999999999" customHeight="1" x14ac:dyDescent="0.35">
      <c r="K193" s="20" t="s">
        <v>668</v>
      </c>
    </row>
    <row r="194" spans="11:11" ht="17.899999999999999" customHeight="1" x14ac:dyDescent="0.35">
      <c r="K194" s="20" t="s">
        <v>669</v>
      </c>
    </row>
    <row r="195" spans="11:11" ht="17.899999999999999" customHeight="1" x14ac:dyDescent="0.35">
      <c r="K195" s="20" t="s">
        <v>670</v>
      </c>
    </row>
    <row r="196" spans="11:11" ht="17.899999999999999" customHeight="1" x14ac:dyDescent="0.35">
      <c r="K196" s="20" t="s">
        <v>671</v>
      </c>
    </row>
    <row r="197" spans="11:11" ht="17.899999999999999" customHeight="1" x14ac:dyDescent="0.35">
      <c r="K197" s="20" t="s">
        <v>672</v>
      </c>
    </row>
    <row r="198" spans="11:11" ht="17.899999999999999" customHeight="1" x14ac:dyDescent="0.35">
      <c r="K198" s="20" t="s">
        <v>673</v>
      </c>
    </row>
    <row r="199" spans="11:11" ht="17.899999999999999" customHeight="1" x14ac:dyDescent="0.35">
      <c r="K199" s="20" t="s">
        <v>674</v>
      </c>
    </row>
    <row r="200" spans="11:11" ht="17.899999999999999" customHeight="1" x14ac:dyDescent="0.35">
      <c r="K200" s="20" t="s">
        <v>675</v>
      </c>
    </row>
    <row r="201" spans="11:11" ht="17.899999999999999" customHeight="1" x14ac:dyDescent="0.35">
      <c r="K201" s="20" t="s">
        <v>676</v>
      </c>
    </row>
    <row r="202" spans="11:11" ht="17.899999999999999" customHeight="1" x14ac:dyDescent="0.35">
      <c r="K202" s="20" t="s">
        <v>677</v>
      </c>
    </row>
    <row r="203" spans="11:11" ht="17.899999999999999" customHeight="1" x14ac:dyDescent="0.35">
      <c r="K203" s="20" t="s">
        <v>678</v>
      </c>
    </row>
    <row r="204" spans="11:11" ht="17.899999999999999" customHeight="1" x14ac:dyDescent="0.35">
      <c r="K204" s="20" t="s">
        <v>679</v>
      </c>
    </row>
    <row r="205" spans="11:11" ht="17.899999999999999" customHeight="1" x14ac:dyDescent="0.35">
      <c r="K205" s="20" t="s">
        <v>680</v>
      </c>
    </row>
    <row r="206" spans="11:11" ht="17.899999999999999" customHeight="1" x14ac:dyDescent="0.35">
      <c r="K206" s="20" t="s">
        <v>681</v>
      </c>
    </row>
    <row r="207" spans="11:11" ht="17.899999999999999" customHeight="1" x14ac:dyDescent="0.35">
      <c r="K207" s="20" t="s">
        <v>682</v>
      </c>
    </row>
    <row r="208" spans="11:11" ht="17.899999999999999" customHeight="1" x14ac:dyDescent="0.35">
      <c r="K208" s="20" t="s">
        <v>683</v>
      </c>
    </row>
    <row r="209" spans="11:11" ht="17.899999999999999" customHeight="1" x14ac:dyDescent="0.35">
      <c r="K209" s="20" t="s">
        <v>684</v>
      </c>
    </row>
    <row r="210" spans="11:11" ht="17.899999999999999" customHeight="1" x14ac:dyDescent="0.35">
      <c r="K210" s="20" t="s">
        <v>685</v>
      </c>
    </row>
    <row r="211" spans="11:11" ht="17.899999999999999" customHeight="1" x14ac:dyDescent="0.35">
      <c r="K211" s="20" t="s">
        <v>686</v>
      </c>
    </row>
    <row r="212" spans="11:11" ht="17.899999999999999" customHeight="1" x14ac:dyDescent="0.35">
      <c r="K212" s="20" t="s">
        <v>687</v>
      </c>
    </row>
    <row r="213" spans="11:11" ht="17.899999999999999" customHeight="1" x14ac:dyDescent="0.35">
      <c r="K213" s="20" t="s">
        <v>688</v>
      </c>
    </row>
    <row r="214" spans="11:11" ht="17.899999999999999" customHeight="1" x14ac:dyDescent="0.35">
      <c r="K214" s="20" t="s">
        <v>689</v>
      </c>
    </row>
    <row r="215" spans="11:11" ht="17.899999999999999" customHeight="1" x14ac:dyDescent="0.35">
      <c r="K215" s="20" t="s">
        <v>690</v>
      </c>
    </row>
    <row r="216" spans="11:11" ht="17.899999999999999" customHeight="1" x14ac:dyDescent="0.35">
      <c r="K216" s="20" t="s">
        <v>691</v>
      </c>
    </row>
    <row r="217" spans="11:11" ht="17.899999999999999" customHeight="1" x14ac:dyDescent="0.35">
      <c r="K217" s="20" t="s">
        <v>692</v>
      </c>
    </row>
    <row r="218" spans="11:11" ht="17.899999999999999" customHeight="1" x14ac:dyDescent="0.35">
      <c r="K218" s="20" t="s">
        <v>693</v>
      </c>
    </row>
    <row r="219" spans="11:11" ht="17.899999999999999" customHeight="1" x14ac:dyDescent="0.35">
      <c r="K219" s="20" t="s">
        <v>694</v>
      </c>
    </row>
    <row r="220" spans="11:11" ht="17.899999999999999" customHeight="1" x14ac:dyDescent="0.35">
      <c r="K220" s="20" t="s">
        <v>695</v>
      </c>
    </row>
    <row r="221" spans="11:11" ht="17.899999999999999" customHeight="1" x14ac:dyDescent="0.35">
      <c r="K221" s="20" t="s">
        <v>696</v>
      </c>
    </row>
    <row r="222" spans="11:11" ht="17.899999999999999" customHeight="1" x14ac:dyDescent="0.35">
      <c r="K222" s="20" t="s">
        <v>697</v>
      </c>
    </row>
    <row r="223" spans="11:11" ht="17.899999999999999" customHeight="1" x14ac:dyDescent="0.35">
      <c r="K223" s="20" t="s">
        <v>698</v>
      </c>
    </row>
    <row r="224" spans="11:11" ht="17.899999999999999" customHeight="1" x14ac:dyDescent="0.35">
      <c r="K224" s="20" t="s">
        <v>699</v>
      </c>
    </row>
    <row r="225" spans="11:11" ht="17.899999999999999" customHeight="1" x14ac:dyDescent="0.35">
      <c r="K225" s="20" t="s">
        <v>700</v>
      </c>
    </row>
    <row r="226" spans="11:11" ht="17.899999999999999" customHeight="1" x14ac:dyDescent="0.35">
      <c r="K226" s="20" t="s">
        <v>701</v>
      </c>
    </row>
    <row r="227" spans="11:11" ht="17.899999999999999" customHeight="1" x14ac:dyDescent="0.35">
      <c r="K227" s="20" t="s">
        <v>702</v>
      </c>
    </row>
    <row r="228" spans="11:11" ht="17.899999999999999" customHeight="1" x14ac:dyDescent="0.35">
      <c r="K228" s="20" t="s">
        <v>703</v>
      </c>
    </row>
    <row r="229" spans="11:11" ht="17.899999999999999" customHeight="1" x14ac:dyDescent="0.35">
      <c r="K229" s="20" t="s">
        <v>704</v>
      </c>
    </row>
    <row r="230" spans="11:11" ht="17.899999999999999" customHeight="1" x14ac:dyDescent="0.35">
      <c r="K230" s="20" t="s">
        <v>705</v>
      </c>
    </row>
    <row r="231" spans="11:11" ht="17.899999999999999" customHeight="1" x14ac:dyDescent="0.35">
      <c r="K231" s="20" t="s">
        <v>706</v>
      </c>
    </row>
    <row r="232" spans="11:11" ht="17.899999999999999" customHeight="1" x14ac:dyDescent="0.35">
      <c r="K232" s="20" t="s">
        <v>707</v>
      </c>
    </row>
    <row r="233" spans="11:11" ht="17.899999999999999" customHeight="1" x14ac:dyDescent="0.35">
      <c r="K233" s="20" t="s">
        <v>708</v>
      </c>
    </row>
    <row r="234" spans="11:11" ht="17.899999999999999" customHeight="1" x14ac:dyDescent="0.35">
      <c r="K234" s="20" t="s">
        <v>709</v>
      </c>
    </row>
    <row r="235" spans="11:11" ht="17.899999999999999" customHeight="1" x14ac:dyDescent="0.35">
      <c r="K235" s="20" t="s">
        <v>710</v>
      </c>
    </row>
    <row r="236" spans="11:11" ht="17.899999999999999" customHeight="1" x14ac:dyDescent="0.35">
      <c r="K236" s="20" t="s">
        <v>711</v>
      </c>
    </row>
    <row r="237" spans="11:11" ht="17.899999999999999" customHeight="1" x14ac:dyDescent="0.35">
      <c r="K237" s="20" t="s">
        <v>712</v>
      </c>
    </row>
    <row r="238" spans="11:11" ht="17.899999999999999" customHeight="1" x14ac:dyDescent="0.35">
      <c r="K238" s="20" t="s">
        <v>713</v>
      </c>
    </row>
    <row r="239" spans="11:11" ht="17.899999999999999" customHeight="1" x14ac:dyDescent="0.35">
      <c r="K239" s="20" t="s">
        <v>714</v>
      </c>
    </row>
    <row r="240" spans="11:11" ht="17.899999999999999" customHeight="1" x14ac:dyDescent="0.35">
      <c r="K240" s="20" t="s">
        <v>715</v>
      </c>
    </row>
    <row r="241" spans="11:13" ht="17.899999999999999" customHeight="1" x14ac:dyDescent="0.35">
      <c r="K241" s="20" t="s">
        <v>716</v>
      </c>
    </row>
    <row r="242" spans="11:13" ht="17.899999999999999" customHeight="1" x14ac:dyDescent="0.35">
      <c r="K242" s="20" t="s">
        <v>717</v>
      </c>
    </row>
    <row r="243" spans="11:13" ht="17.899999999999999" customHeight="1" x14ac:dyDescent="0.35">
      <c r="K243" s="20" t="s">
        <v>718</v>
      </c>
    </row>
    <row r="244" spans="11:13" ht="17.899999999999999" customHeight="1" x14ac:dyDescent="0.35">
      <c r="K244" s="20" t="s">
        <v>719</v>
      </c>
      <c r="M244" s="5"/>
    </row>
    <row r="245" spans="11:13" ht="17.899999999999999" customHeight="1" x14ac:dyDescent="0.35">
      <c r="K245" s="20" t="s">
        <v>720</v>
      </c>
      <c r="M245" s="5"/>
    </row>
    <row r="246" spans="11:13" ht="17.899999999999999" customHeight="1" x14ac:dyDescent="0.35">
      <c r="K246" s="20" t="s">
        <v>721</v>
      </c>
      <c r="M246" s="5"/>
    </row>
    <row r="247" spans="11:13" ht="17.899999999999999" customHeight="1" x14ac:dyDescent="0.35">
      <c r="K247" s="20" t="s">
        <v>722</v>
      </c>
      <c r="M247" s="5"/>
    </row>
    <row r="248" spans="11:13" ht="17.899999999999999" customHeight="1" x14ac:dyDescent="0.35">
      <c r="K248" s="20" t="s">
        <v>723</v>
      </c>
    </row>
    <row r="249" spans="11:13" ht="17.899999999999999" customHeight="1" x14ac:dyDescent="0.35">
      <c r="K249" s="20" t="s">
        <v>724</v>
      </c>
    </row>
    <row r="250" spans="11:13" ht="17.899999999999999" customHeight="1" x14ac:dyDescent="0.35">
      <c r="K250" s="20" t="s">
        <v>725</v>
      </c>
    </row>
    <row r="251" spans="11:13" ht="17.899999999999999" customHeight="1" x14ac:dyDescent="0.35">
      <c r="K251" s="20" t="s">
        <v>726</v>
      </c>
    </row>
    <row r="252" spans="11:13" ht="17.899999999999999" customHeight="1" x14ac:dyDescent="0.35">
      <c r="K252" s="20" t="s">
        <v>727</v>
      </c>
    </row>
    <row r="253" spans="11:13" ht="17.899999999999999" customHeight="1" x14ac:dyDescent="0.35">
      <c r="K253" s="20" t="s">
        <v>728</v>
      </c>
    </row>
    <row r="254" spans="11:13" ht="17.899999999999999" customHeight="1" x14ac:dyDescent="0.35">
      <c r="K254" s="20" t="s">
        <v>729</v>
      </c>
    </row>
    <row r="255" spans="11:13" ht="17.899999999999999" customHeight="1" x14ac:dyDescent="0.35">
      <c r="K255" s="20" t="s">
        <v>730</v>
      </c>
    </row>
    <row r="256" spans="11:13" ht="17.899999999999999" customHeight="1" x14ac:dyDescent="0.35">
      <c r="K256" s="20" t="s">
        <v>731</v>
      </c>
    </row>
    <row r="257" spans="11:11" ht="17.899999999999999" customHeight="1" x14ac:dyDescent="0.35">
      <c r="K257" s="20" t="s">
        <v>732</v>
      </c>
    </row>
    <row r="258" spans="11:11" ht="17.899999999999999" customHeight="1" x14ac:dyDescent="0.35">
      <c r="K258" s="20" t="s">
        <v>733</v>
      </c>
    </row>
    <row r="259" spans="11:11" ht="17.899999999999999" customHeight="1" x14ac:dyDescent="0.35">
      <c r="K259" s="20" t="s">
        <v>734</v>
      </c>
    </row>
    <row r="260" spans="11:11" ht="17.899999999999999" customHeight="1" x14ac:dyDescent="0.35">
      <c r="K260" s="20" t="s">
        <v>735</v>
      </c>
    </row>
    <row r="261" spans="11:11" ht="17.899999999999999" customHeight="1" thickBot="1" x14ac:dyDescent="0.4">
      <c r="K261" s="76" t="s">
        <v>736</v>
      </c>
    </row>
  </sheetData>
  <mergeCells count="7">
    <mergeCell ref="C102:E102"/>
    <mergeCell ref="P9:R9"/>
    <mergeCell ref="B60:B62"/>
    <mergeCell ref="C60:C61"/>
    <mergeCell ref="D60:D61"/>
    <mergeCell ref="E60:E61"/>
    <mergeCell ref="B80:B81"/>
  </mergeCells>
  <dataValidations count="6">
    <dataValidation type="list" allowBlank="1" showInputMessage="1" showErrorMessage="1" sqref="D39:D58" xr:uid="{8C3F5633-3B45-4241-B061-E36E56025BBB}">
      <formula1>$M$11:$M$170</formula1>
    </dataValidation>
    <dataValidation type="list" allowBlank="1" showInputMessage="1" showErrorMessage="1" sqref="C108:C112 C14:C23 C39:C58" xr:uid="{598C3812-568E-4BD0-BB51-7FE3D5A22D29}">
      <formula1>$K$11:$K$261</formula1>
    </dataValidation>
    <dataValidation type="list" allowBlank="1" showInputMessage="1" showErrorMessage="1" sqref="C63:C77 C82:C96 B100:C100" xr:uid="{4EC098F4-EE42-4474-8418-6DD7E825A991}">
      <formula1>$M$11:$M$169</formula1>
    </dataValidation>
    <dataValidation type="list" allowBlank="1" showInputMessage="1" showErrorMessage="1" sqref="C24:C25" xr:uid="{E6AA172F-225D-430E-AC3A-7A41F913B8F8}">
      <formula1>"1,2,3,4,5"</formula1>
    </dataValidation>
    <dataValidation type="list" allowBlank="1" showInputMessage="1" showErrorMessage="1" sqref="C27:C36" xr:uid="{1CA877FA-8F6B-4A73-926E-B01F98138436}">
      <formula1>$K$11:$K$40</formula1>
    </dataValidation>
    <dataValidation type="list" showInputMessage="1" showErrorMessage="1" sqref="C10" xr:uid="{037943D0-6453-4A1E-9298-A62E1AC5BD48}">
      <formula1>$G$11:$G$74</formula1>
    </dataValidation>
  </dataValidations>
  <pageMargins left="0.70866141732283472" right="0.70866141732283472" top="0.74803149606299213" bottom="0.74803149606299213" header="0.31496062992125984" footer="0.31496062992125984"/>
  <pageSetup paperSize="9" orientation="portrait" r:id="rId1"/>
  <headerFooter>
    <evenHeader>&amp;L&amp;"Times New Roman,Regular"&amp;12&amp;K000000Central Bank of Ireland - CONFIDENTIAL</evenHeader>
    <firstHeader>&amp;L&amp;"Times New Roman,Regular"&amp;12&amp;K000000Central Bank of Ireland - CONFIDENTIAL</first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C86DA-762D-4919-B3BA-3E1F500E9139}">
  <sheetPr>
    <tabColor rgb="FF17573A"/>
  </sheetPr>
  <dimension ref="A2:OH116"/>
  <sheetViews>
    <sheetView tabSelected="1" topLeftCell="F25" zoomScale="115" zoomScaleNormal="115" workbookViewId="0">
      <selection activeCell="I29" sqref="I29"/>
    </sheetView>
  </sheetViews>
  <sheetFormatPr defaultColWidth="8.54296875" defaultRowHeight="14.5" outlineLevelCol="1" x14ac:dyDescent="0.35"/>
  <cols>
    <col min="1" max="1" width="3.54296875" style="4" customWidth="1"/>
    <col min="2" max="2" width="6.54296875" style="4" customWidth="1"/>
    <col min="3" max="3" width="13.54296875" style="4" hidden="1" customWidth="1"/>
    <col min="4" max="4" width="16.453125" style="4" customWidth="1"/>
    <col min="5" max="5" width="30.90625" style="4" customWidth="1"/>
    <col min="6" max="6" width="70.453125" style="4" customWidth="1"/>
    <col min="7" max="7" width="25.453125" style="4" customWidth="1"/>
    <col min="8" max="8" width="35.453125" style="4" customWidth="1"/>
    <col min="9" max="19" width="17.54296875" style="4" customWidth="1"/>
    <col min="20" max="20" width="8.54296875" style="4"/>
    <col min="21" max="51" width="8.54296875" style="4" customWidth="1" outlineLevel="1"/>
    <col min="52" max="52" width="8.54296875" style="4"/>
    <col min="53" max="108" width="8.54296875" style="4" customWidth="1" outlineLevel="1"/>
    <col min="109" max="109" width="8.54296875" style="4"/>
    <col min="110" max="128" width="8.54296875" style="4" customWidth="1" outlineLevel="1"/>
    <col min="129" max="129" width="7" style="4" customWidth="1"/>
    <col min="130" max="140" width="7" style="4" customWidth="1" outlineLevel="1"/>
    <col min="141" max="142" width="8.54296875" style="4" customWidth="1" outlineLevel="1"/>
    <col min="143" max="143" width="8.54296875" style="4"/>
    <col min="144" max="151" width="8.54296875" style="4" customWidth="1" outlineLevel="1"/>
    <col min="152" max="152" width="8.54296875" style="4"/>
    <col min="153" max="156" width="8.54296875" style="4" customWidth="1" outlineLevel="1"/>
    <col min="157" max="157" width="8.54296875" style="4"/>
    <col min="158" max="273" width="8.54296875" style="4" customWidth="1" outlineLevel="1"/>
    <col min="274" max="274" width="8.54296875" style="4"/>
    <col min="275" max="296" width="8.54296875" style="4" customWidth="1" outlineLevel="1"/>
    <col min="297" max="297" width="8.54296875" style="4"/>
    <col min="298" max="305" width="8.54296875" style="4" customWidth="1" outlineLevel="1"/>
    <col min="306" max="306" width="8.54296875" style="4"/>
    <col min="307" max="314" width="8.54296875" style="4" customWidth="1" outlineLevel="1"/>
    <col min="315" max="315" width="8.54296875" style="4"/>
    <col min="316" max="323" width="8.54296875" style="4" customWidth="1" outlineLevel="1"/>
    <col min="324" max="324" width="8.54296875" style="4"/>
    <col min="325" max="354" width="8.54296875" style="4" customWidth="1" outlineLevel="1"/>
    <col min="355" max="355" width="8.54296875" style="4"/>
    <col min="356" max="386" width="8.54296875" style="4" customWidth="1" outlineLevel="1"/>
    <col min="387" max="387" width="8.54296875" style="4"/>
    <col min="388" max="398" width="8.54296875" style="4" outlineLevel="1"/>
    <col min="399" max="16384" width="8.54296875" style="4"/>
  </cols>
  <sheetData>
    <row r="2" spans="1:398" x14ac:dyDescent="0.35">
      <c r="A2" s="102"/>
      <c r="B2" s="102"/>
      <c r="C2" s="102"/>
      <c r="D2" s="102"/>
      <c r="E2" s="102"/>
      <c r="F2" s="102"/>
      <c r="G2" s="103"/>
      <c r="H2" s="104"/>
      <c r="I2" s="169">
        <v>1</v>
      </c>
      <c r="J2" s="170">
        <f>I2+1</f>
        <v>2</v>
      </c>
      <c r="K2" s="170">
        <f t="shared" ref="K2:BS2" si="0">J2+1</f>
        <v>3</v>
      </c>
      <c r="L2" s="170">
        <f t="shared" si="0"/>
        <v>4</v>
      </c>
      <c r="M2" s="170">
        <f t="shared" si="0"/>
        <v>5</v>
      </c>
      <c r="N2" s="170">
        <f t="shared" si="0"/>
        <v>6</v>
      </c>
      <c r="O2" s="170">
        <f t="shared" si="0"/>
        <v>7</v>
      </c>
      <c r="P2" s="170">
        <f t="shared" si="0"/>
        <v>8</v>
      </c>
      <c r="Q2" s="170">
        <f t="shared" si="0"/>
        <v>9</v>
      </c>
      <c r="R2" s="170">
        <f t="shared" si="0"/>
        <v>10</v>
      </c>
      <c r="S2" s="170">
        <f t="shared" si="0"/>
        <v>11</v>
      </c>
      <c r="T2" s="170">
        <f t="shared" si="0"/>
        <v>12</v>
      </c>
      <c r="U2" s="170">
        <f t="shared" si="0"/>
        <v>13</v>
      </c>
      <c r="V2" s="170">
        <f t="shared" si="0"/>
        <v>14</v>
      </c>
      <c r="W2" s="170">
        <f t="shared" si="0"/>
        <v>15</v>
      </c>
      <c r="X2" s="170">
        <f t="shared" si="0"/>
        <v>16</v>
      </c>
      <c r="Y2" s="170">
        <f t="shared" si="0"/>
        <v>17</v>
      </c>
      <c r="Z2" s="170">
        <f t="shared" si="0"/>
        <v>18</v>
      </c>
      <c r="AA2" s="170">
        <f t="shared" si="0"/>
        <v>19</v>
      </c>
      <c r="AB2" s="170">
        <f t="shared" si="0"/>
        <v>20</v>
      </c>
      <c r="AC2" s="170">
        <f t="shared" si="0"/>
        <v>21</v>
      </c>
      <c r="AD2" s="170">
        <f t="shared" si="0"/>
        <v>22</v>
      </c>
      <c r="AE2" s="170">
        <f t="shared" si="0"/>
        <v>23</v>
      </c>
      <c r="AF2" s="170">
        <f t="shared" si="0"/>
        <v>24</v>
      </c>
      <c r="AG2" s="170">
        <f t="shared" si="0"/>
        <v>25</v>
      </c>
      <c r="AH2" s="170">
        <f t="shared" si="0"/>
        <v>26</v>
      </c>
      <c r="AI2" s="170">
        <f t="shared" si="0"/>
        <v>27</v>
      </c>
      <c r="AJ2" s="170">
        <f t="shared" si="0"/>
        <v>28</v>
      </c>
      <c r="AK2" s="170">
        <f t="shared" si="0"/>
        <v>29</v>
      </c>
      <c r="AL2" s="170">
        <f t="shared" si="0"/>
        <v>30</v>
      </c>
      <c r="AM2" s="170">
        <f t="shared" si="0"/>
        <v>31</v>
      </c>
      <c r="AN2" s="170">
        <f t="shared" si="0"/>
        <v>32</v>
      </c>
      <c r="AO2" s="170">
        <f t="shared" si="0"/>
        <v>33</v>
      </c>
      <c r="AP2" s="170">
        <f t="shared" si="0"/>
        <v>34</v>
      </c>
      <c r="AQ2" s="170">
        <f t="shared" si="0"/>
        <v>35</v>
      </c>
      <c r="AR2" s="170">
        <f t="shared" si="0"/>
        <v>36</v>
      </c>
      <c r="AS2" s="170">
        <f t="shared" si="0"/>
        <v>37</v>
      </c>
      <c r="AT2" s="170">
        <f t="shared" si="0"/>
        <v>38</v>
      </c>
      <c r="AU2" s="170">
        <f t="shared" si="0"/>
        <v>39</v>
      </c>
      <c r="AV2" s="170">
        <f t="shared" si="0"/>
        <v>40</v>
      </c>
      <c r="AW2" s="170">
        <f t="shared" si="0"/>
        <v>41</v>
      </c>
      <c r="AX2" s="170">
        <f t="shared" si="0"/>
        <v>42</v>
      </c>
      <c r="AY2" s="170">
        <f t="shared" si="0"/>
        <v>43</v>
      </c>
      <c r="AZ2" s="170">
        <f t="shared" si="0"/>
        <v>44</v>
      </c>
      <c r="BA2" s="170">
        <f t="shared" si="0"/>
        <v>45</v>
      </c>
      <c r="BB2" s="170">
        <f t="shared" si="0"/>
        <v>46</v>
      </c>
      <c r="BC2" s="170">
        <f t="shared" si="0"/>
        <v>47</v>
      </c>
      <c r="BD2" s="170">
        <f t="shared" si="0"/>
        <v>48</v>
      </c>
      <c r="BE2" s="170">
        <f t="shared" si="0"/>
        <v>49</v>
      </c>
      <c r="BF2" s="170">
        <f t="shared" si="0"/>
        <v>50</v>
      </c>
      <c r="BG2" s="170">
        <f t="shared" si="0"/>
        <v>51</v>
      </c>
      <c r="BH2" s="170">
        <f t="shared" si="0"/>
        <v>52</v>
      </c>
      <c r="BI2" s="170">
        <f t="shared" si="0"/>
        <v>53</v>
      </c>
      <c r="BJ2" s="170">
        <f t="shared" si="0"/>
        <v>54</v>
      </c>
      <c r="BK2" s="170">
        <f t="shared" si="0"/>
        <v>55</v>
      </c>
      <c r="BL2" s="170">
        <f t="shared" si="0"/>
        <v>56</v>
      </c>
      <c r="BM2" s="170">
        <f t="shared" si="0"/>
        <v>57</v>
      </c>
      <c r="BN2" s="170">
        <f t="shared" si="0"/>
        <v>58</v>
      </c>
      <c r="BO2" s="170">
        <f t="shared" si="0"/>
        <v>59</v>
      </c>
      <c r="BP2" s="170">
        <f t="shared" si="0"/>
        <v>60</v>
      </c>
      <c r="BQ2" s="170">
        <f t="shared" si="0"/>
        <v>61</v>
      </c>
      <c r="BR2" s="170">
        <f t="shared" si="0"/>
        <v>62</v>
      </c>
      <c r="BS2" s="170">
        <f t="shared" si="0"/>
        <v>63</v>
      </c>
      <c r="BT2" s="170">
        <f t="shared" ref="BT2:EE2" si="1">BS2+1</f>
        <v>64</v>
      </c>
      <c r="BU2" s="170">
        <f t="shared" si="1"/>
        <v>65</v>
      </c>
      <c r="BV2" s="170">
        <f t="shared" si="1"/>
        <v>66</v>
      </c>
      <c r="BW2" s="170">
        <f t="shared" si="1"/>
        <v>67</v>
      </c>
      <c r="BX2" s="170">
        <f t="shared" si="1"/>
        <v>68</v>
      </c>
      <c r="BY2" s="170">
        <f t="shared" si="1"/>
        <v>69</v>
      </c>
      <c r="BZ2" s="170">
        <f t="shared" si="1"/>
        <v>70</v>
      </c>
      <c r="CA2" s="170">
        <f t="shared" si="1"/>
        <v>71</v>
      </c>
      <c r="CB2" s="170">
        <f t="shared" si="1"/>
        <v>72</v>
      </c>
      <c r="CC2" s="170">
        <f t="shared" si="1"/>
        <v>73</v>
      </c>
      <c r="CD2" s="170">
        <f t="shared" si="1"/>
        <v>74</v>
      </c>
      <c r="CE2" s="170">
        <f t="shared" si="1"/>
        <v>75</v>
      </c>
      <c r="CF2" s="170">
        <f t="shared" si="1"/>
        <v>76</v>
      </c>
      <c r="CG2" s="170">
        <f t="shared" si="1"/>
        <v>77</v>
      </c>
      <c r="CH2" s="170">
        <f t="shared" si="1"/>
        <v>78</v>
      </c>
      <c r="CI2" s="170">
        <f t="shared" si="1"/>
        <v>79</v>
      </c>
      <c r="CJ2" s="170">
        <f t="shared" si="1"/>
        <v>80</v>
      </c>
      <c r="CK2" s="170">
        <f t="shared" si="1"/>
        <v>81</v>
      </c>
      <c r="CL2" s="170">
        <f t="shared" si="1"/>
        <v>82</v>
      </c>
      <c r="CM2" s="170">
        <f t="shared" si="1"/>
        <v>83</v>
      </c>
      <c r="CN2" s="170">
        <f t="shared" si="1"/>
        <v>84</v>
      </c>
      <c r="CO2" s="170">
        <f t="shared" si="1"/>
        <v>85</v>
      </c>
      <c r="CP2" s="170">
        <f t="shared" si="1"/>
        <v>86</v>
      </c>
      <c r="CQ2" s="170">
        <f t="shared" si="1"/>
        <v>87</v>
      </c>
      <c r="CR2" s="170">
        <f t="shared" si="1"/>
        <v>88</v>
      </c>
      <c r="CS2" s="170">
        <f t="shared" si="1"/>
        <v>89</v>
      </c>
      <c r="CT2" s="170">
        <f t="shared" si="1"/>
        <v>90</v>
      </c>
      <c r="CU2" s="170">
        <f t="shared" si="1"/>
        <v>91</v>
      </c>
      <c r="CV2" s="170">
        <f t="shared" si="1"/>
        <v>92</v>
      </c>
      <c r="CW2" s="170">
        <f t="shared" si="1"/>
        <v>93</v>
      </c>
      <c r="CX2" s="170">
        <f t="shared" si="1"/>
        <v>94</v>
      </c>
      <c r="CY2" s="170">
        <f t="shared" si="1"/>
        <v>95</v>
      </c>
      <c r="CZ2" s="170">
        <f t="shared" si="1"/>
        <v>96</v>
      </c>
      <c r="DA2" s="170">
        <f t="shared" si="1"/>
        <v>97</v>
      </c>
      <c r="DB2" s="170">
        <f t="shared" si="1"/>
        <v>98</v>
      </c>
      <c r="DC2" s="170">
        <f t="shared" si="1"/>
        <v>99</v>
      </c>
      <c r="DD2" s="170">
        <f t="shared" si="1"/>
        <v>100</v>
      </c>
      <c r="DE2" s="170">
        <f t="shared" si="1"/>
        <v>101</v>
      </c>
      <c r="DF2" s="170">
        <f t="shared" si="1"/>
        <v>102</v>
      </c>
      <c r="DG2" s="170">
        <f t="shared" si="1"/>
        <v>103</v>
      </c>
      <c r="DH2" s="170">
        <f t="shared" si="1"/>
        <v>104</v>
      </c>
      <c r="DI2" s="170">
        <f t="shared" si="1"/>
        <v>105</v>
      </c>
      <c r="DJ2" s="170">
        <f t="shared" si="1"/>
        <v>106</v>
      </c>
      <c r="DK2" s="170">
        <f t="shared" si="1"/>
        <v>107</v>
      </c>
      <c r="DL2" s="170">
        <f t="shared" si="1"/>
        <v>108</v>
      </c>
      <c r="DM2" s="170">
        <f t="shared" si="1"/>
        <v>109</v>
      </c>
      <c r="DN2" s="170">
        <f t="shared" si="1"/>
        <v>110</v>
      </c>
      <c r="DO2" s="170">
        <f t="shared" si="1"/>
        <v>111</v>
      </c>
      <c r="DP2" s="170">
        <f t="shared" si="1"/>
        <v>112</v>
      </c>
      <c r="DQ2" s="170">
        <f t="shared" si="1"/>
        <v>113</v>
      </c>
      <c r="DR2" s="170">
        <f t="shared" si="1"/>
        <v>114</v>
      </c>
      <c r="DS2" s="170">
        <f t="shared" si="1"/>
        <v>115</v>
      </c>
      <c r="DT2" s="170">
        <f t="shared" si="1"/>
        <v>116</v>
      </c>
      <c r="DU2" s="170">
        <f t="shared" si="1"/>
        <v>117</v>
      </c>
      <c r="DV2" s="170">
        <f t="shared" si="1"/>
        <v>118</v>
      </c>
      <c r="DW2" s="170">
        <f t="shared" si="1"/>
        <v>119</v>
      </c>
      <c r="DX2" s="170">
        <f t="shared" si="1"/>
        <v>120</v>
      </c>
      <c r="DY2" s="170">
        <f t="shared" si="1"/>
        <v>121</v>
      </c>
      <c r="DZ2" s="170">
        <f t="shared" si="1"/>
        <v>122</v>
      </c>
      <c r="EA2" s="170">
        <f t="shared" si="1"/>
        <v>123</v>
      </c>
      <c r="EB2" s="170">
        <f t="shared" si="1"/>
        <v>124</v>
      </c>
      <c r="EC2" s="170">
        <f t="shared" si="1"/>
        <v>125</v>
      </c>
      <c r="ED2" s="170">
        <f t="shared" si="1"/>
        <v>126</v>
      </c>
      <c r="EE2" s="170">
        <f t="shared" si="1"/>
        <v>127</v>
      </c>
      <c r="EF2" s="170">
        <f t="shared" ref="EF2:GQ2" si="2">EE2+1</f>
        <v>128</v>
      </c>
      <c r="EG2" s="170">
        <f t="shared" si="2"/>
        <v>129</v>
      </c>
      <c r="EH2" s="170">
        <f t="shared" si="2"/>
        <v>130</v>
      </c>
      <c r="EI2" s="170">
        <f t="shared" si="2"/>
        <v>131</v>
      </c>
      <c r="EJ2" s="170">
        <f t="shared" si="2"/>
        <v>132</v>
      </c>
      <c r="EK2" s="170">
        <f t="shared" si="2"/>
        <v>133</v>
      </c>
      <c r="EL2" s="170">
        <f t="shared" si="2"/>
        <v>134</v>
      </c>
      <c r="EM2" s="170">
        <f t="shared" si="2"/>
        <v>135</v>
      </c>
      <c r="EN2" s="170">
        <f t="shared" si="2"/>
        <v>136</v>
      </c>
      <c r="EO2" s="170">
        <f t="shared" si="2"/>
        <v>137</v>
      </c>
      <c r="EP2" s="170">
        <f t="shared" si="2"/>
        <v>138</v>
      </c>
      <c r="EQ2" s="170">
        <f t="shared" si="2"/>
        <v>139</v>
      </c>
      <c r="ER2" s="170">
        <f t="shared" si="2"/>
        <v>140</v>
      </c>
      <c r="ES2" s="170">
        <f t="shared" si="2"/>
        <v>141</v>
      </c>
      <c r="ET2" s="170">
        <f t="shared" si="2"/>
        <v>142</v>
      </c>
      <c r="EU2" s="170">
        <f t="shared" si="2"/>
        <v>143</v>
      </c>
      <c r="EV2" s="170">
        <f t="shared" si="2"/>
        <v>144</v>
      </c>
      <c r="EW2" s="170">
        <f t="shared" si="2"/>
        <v>145</v>
      </c>
      <c r="EX2" s="170">
        <f t="shared" si="2"/>
        <v>146</v>
      </c>
      <c r="EY2" s="170">
        <f t="shared" si="2"/>
        <v>147</v>
      </c>
      <c r="EZ2" s="170">
        <f t="shared" si="2"/>
        <v>148</v>
      </c>
      <c r="FA2" s="170">
        <f t="shared" si="2"/>
        <v>149</v>
      </c>
      <c r="FB2" s="170">
        <f t="shared" si="2"/>
        <v>150</v>
      </c>
      <c r="FC2" s="170">
        <f t="shared" si="2"/>
        <v>151</v>
      </c>
      <c r="FD2" s="170">
        <f t="shared" si="2"/>
        <v>152</v>
      </c>
      <c r="FE2" s="170">
        <f t="shared" si="2"/>
        <v>153</v>
      </c>
      <c r="FF2" s="170">
        <f t="shared" si="2"/>
        <v>154</v>
      </c>
      <c r="FG2" s="170">
        <f t="shared" si="2"/>
        <v>155</v>
      </c>
      <c r="FH2" s="170">
        <f t="shared" si="2"/>
        <v>156</v>
      </c>
      <c r="FI2" s="170">
        <f t="shared" si="2"/>
        <v>157</v>
      </c>
      <c r="FJ2" s="170">
        <f t="shared" si="2"/>
        <v>158</v>
      </c>
      <c r="FK2" s="170">
        <f t="shared" si="2"/>
        <v>159</v>
      </c>
      <c r="FL2" s="170">
        <f t="shared" si="2"/>
        <v>160</v>
      </c>
      <c r="FM2" s="170">
        <f t="shared" si="2"/>
        <v>161</v>
      </c>
      <c r="FN2" s="170">
        <f t="shared" si="2"/>
        <v>162</v>
      </c>
      <c r="FO2" s="170">
        <f t="shared" si="2"/>
        <v>163</v>
      </c>
      <c r="FP2" s="170">
        <f t="shared" si="2"/>
        <v>164</v>
      </c>
      <c r="FQ2" s="170">
        <f t="shared" si="2"/>
        <v>165</v>
      </c>
      <c r="FR2" s="170">
        <f t="shared" si="2"/>
        <v>166</v>
      </c>
      <c r="FS2" s="170">
        <f t="shared" si="2"/>
        <v>167</v>
      </c>
      <c r="FT2" s="170">
        <f t="shared" si="2"/>
        <v>168</v>
      </c>
      <c r="FU2" s="170">
        <f t="shared" si="2"/>
        <v>169</v>
      </c>
      <c r="FV2" s="170">
        <f t="shared" si="2"/>
        <v>170</v>
      </c>
      <c r="FW2" s="170">
        <f t="shared" si="2"/>
        <v>171</v>
      </c>
      <c r="FX2" s="170">
        <f t="shared" si="2"/>
        <v>172</v>
      </c>
      <c r="FY2" s="170">
        <f t="shared" si="2"/>
        <v>173</v>
      </c>
      <c r="FZ2" s="170">
        <f t="shared" si="2"/>
        <v>174</v>
      </c>
      <c r="GA2" s="170">
        <f t="shared" si="2"/>
        <v>175</v>
      </c>
      <c r="GB2" s="170">
        <f t="shared" si="2"/>
        <v>176</v>
      </c>
      <c r="GC2" s="170">
        <f t="shared" si="2"/>
        <v>177</v>
      </c>
      <c r="GD2" s="170">
        <f t="shared" si="2"/>
        <v>178</v>
      </c>
      <c r="GE2" s="170">
        <f t="shared" si="2"/>
        <v>179</v>
      </c>
      <c r="GF2" s="170">
        <f t="shared" si="2"/>
        <v>180</v>
      </c>
      <c r="GG2" s="170">
        <f t="shared" si="2"/>
        <v>181</v>
      </c>
      <c r="GH2" s="170">
        <f t="shared" si="2"/>
        <v>182</v>
      </c>
      <c r="GI2" s="170">
        <f t="shared" si="2"/>
        <v>183</v>
      </c>
      <c r="GJ2" s="170">
        <f t="shared" si="2"/>
        <v>184</v>
      </c>
      <c r="GK2" s="170">
        <f t="shared" si="2"/>
        <v>185</v>
      </c>
      <c r="GL2" s="170">
        <f t="shared" si="2"/>
        <v>186</v>
      </c>
      <c r="GM2" s="170">
        <f t="shared" si="2"/>
        <v>187</v>
      </c>
      <c r="GN2" s="170">
        <f t="shared" si="2"/>
        <v>188</v>
      </c>
      <c r="GO2" s="170">
        <f t="shared" si="2"/>
        <v>189</v>
      </c>
      <c r="GP2" s="170">
        <f t="shared" si="2"/>
        <v>190</v>
      </c>
      <c r="GQ2" s="170">
        <f t="shared" si="2"/>
        <v>191</v>
      </c>
      <c r="GR2" s="170">
        <f t="shared" ref="GR2:JC2" si="3">GQ2+1</f>
        <v>192</v>
      </c>
      <c r="GS2" s="170">
        <f t="shared" si="3"/>
        <v>193</v>
      </c>
      <c r="GT2" s="170">
        <f t="shared" si="3"/>
        <v>194</v>
      </c>
      <c r="GU2" s="170">
        <f t="shared" si="3"/>
        <v>195</v>
      </c>
      <c r="GV2" s="170">
        <f t="shared" si="3"/>
        <v>196</v>
      </c>
      <c r="GW2" s="170">
        <f t="shared" si="3"/>
        <v>197</v>
      </c>
      <c r="GX2" s="170">
        <f t="shared" si="3"/>
        <v>198</v>
      </c>
      <c r="GY2" s="170">
        <f t="shared" si="3"/>
        <v>199</v>
      </c>
      <c r="GZ2" s="170">
        <f t="shared" si="3"/>
        <v>200</v>
      </c>
      <c r="HA2" s="170">
        <f t="shared" si="3"/>
        <v>201</v>
      </c>
      <c r="HB2" s="170">
        <f t="shared" si="3"/>
        <v>202</v>
      </c>
      <c r="HC2" s="170">
        <f t="shared" si="3"/>
        <v>203</v>
      </c>
      <c r="HD2" s="170">
        <f t="shared" si="3"/>
        <v>204</v>
      </c>
      <c r="HE2" s="170">
        <f t="shared" si="3"/>
        <v>205</v>
      </c>
      <c r="HF2" s="170">
        <f t="shared" si="3"/>
        <v>206</v>
      </c>
      <c r="HG2" s="170">
        <f t="shared" si="3"/>
        <v>207</v>
      </c>
      <c r="HH2" s="170">
        <f t="shared" si="3"/>
        <v>208</v>
      </c>
      <c r="HI2" s="170">
        <f t="shared" si="3"/>
        <v>209</v>
      </c>
      <c r="HJ2" s="170">
        <f t="shared" si="3"/>
        <v>210</v>
      </c>
      <c r="HK2" s="170">
        <f t="shared" si="3"/>
        <v>211</v>
      </c>
      <c r="HL2" s="170">
        <f t="shared" si="3"/>
        <v>212</v>
      </c>
      <c r="HM2" s="170">
        <f t="shared" si="3"/>
        <v>213</v>
      </c>
      <c r="HN2" s="170">
        <f t="shared" si="3"/>
        <v>214</v>
      </c>
      <c r="HO2" s="170">
        <f t="shared" si="3"/>
        <v>215</v>
      </c>
      <c r="HP2" s="170">
        <f t="shared" si="3"/>
        <v>216</v>
      </c>
      <c r="HQ2" s="170">
        <f t="shared" si="3"/>
        <v>217</v>
      </c>
      <c r="HR2" s="170">
        <f t="shared" si="3"/>
        <v>218</v>
      </c>
      <c r="HS2" s="170">
        <f t="shared" si="3"/>
        <v>219</v>
      </c>
      <c r="HT2" s="170">
        <f t="shared" si="3"/>
        <v>220</v>
      </c>
      <c r="HU2" s="170">
        <f t="shared" si="3"/>
        <v>221</v>
      </c>
      <c r="HV2" s="170">
        <f t="shared" si="3"/>
        <v>222</v>
      </c>
      <c r="HW2" s="170">
        <f t="shared" si="3"/>
        <v>223</v>
      </c>
      <c r="HX2" s="170">
        <f t="shared" si="3"/>
        <v>224</v>
      </c>
      <c r="HY2" s="170">
        <f t="shared" si="3"/>
        <v>225</v>
      </c>
      <c r="HZ2" s="170">
        <f t="shared" si="3"/>
        <v>226</v>
      </c>
      <c r="IA2" s="170">
        <f t="shared" si="3"/>
        <v>227</v>
      </c>
      <c r="IB2" s="170">
        <f t="shared" si="3"/>
        <v>228</v>
      </c>
      <c r="IC2" s="170">
        <f t="shared" si="3"/>
        <v>229</v>
      </c>
      <c r="ID2" s="170">
        <f t="shared" si="3"/>
        <v>230</v>
      </c>
      <c r="IE2" s="170">
        <f t="shared" si="3"/>
        <v>231</v>
      </c>
      <c r="IF2" s="170">
        <f t="shared" si="3"/>
        <v>232</v>
      </c>
      <c r="IG2" s="170">
        <f t="shared" si="3"/>
        <v>233</v>
      </c>
      <c r="IH2" s="170">
        <f t="shared" si="3"/>
        <v>234</v>
      </c>
      <c r="II2" s="170">
        <f t="shared" si="3"/>
        <v>235</v>
      </c>
      <c r="IJ2" s="170">
        <f t="shared" si="3"/>
        <v>236</v>
      </c>
      <c r="IK2" s="170">
        <f t="shared" si="3"/>
        <v>237</v>
      </c>
      <c r="IL2" s="170">
        <f t="shared" si="3"/>
        <v>238</v>
      </c>
      <c r="IM2" s="170">
        <f t="shared" si="3"/>
        <v>239</v>
      </c>
      <c r="IN2" s="170">
        <f t="shared" si="3"/>
        <v>240</v>
      </c>
      <c r="IO2" s="170">
        <f t="shared" si="3"/>
        <v>241</v>
      </c>
      <c r="IP2" s="170">
        <f t="shared" si="3"/>
        <v>242</v>
      </c>
      <c r="IQ2" s="170">
        <f t="shared" si="3"/>
        <v>243</v>
      </c>
      <c r="IR2" s="170">
        <f t="shared" si="3"/>
        <v>244</v>
      </c>
      <c r="IS2" s="170">
        <f t="shared" si="3"/>
        <v>245</v>
      </c>
      <c r="IT2" s="170">
        <f t="shared" si="3"/>
        <v>246</v>
      </c>
      <c r="IU2" s="170">
        <f t="shared" si="3"/>
        <v>247</v>
      </c>
      <c r="IV2" s="170">
        <f t="shared" si="3"/>
        <v>248</v>
      </c>
      <c r="IW2" s="170">
        <f t="shared" si="3"/>
        <v>249</v>
      </c>
      <c r="IX2" s="170">
        <f t="shared" si="3"/>
        <v>250</v>
      </c>
      <c r="IY2" s="170">
        <f t="shared" si="3"/>
        <v>251</v>
      </c>
      <c r="IZ2" s="170">
        <f t="shared" si="3"/>
        <v>252</v>
      </c>
      <c r="JA2" s="170">
        <f t="shared" si="3"/>
        <v>253</v>
      </c>
      <c r="JB2" s="170">
        <f t="shared" si="3"/>
        <v>254</v>
      </c>
      <c r="JC2" s="170">
        <f t="shared" si="3"/>
        <v>255</v>
      </c>
      <c r="JD2" s="170">
        <f t="shared" ref="JD2:LO2" si="4">JC2+1</f>
        <v>256</v>
      </c>
      <c r="JE2" s="170">
        <f t="shared" si="4"/>
        <v>257</v>
      </c>
      <c r="JF2" s="170">
        <f t="shared" si="4"/>
        <v>258</v>
      </c>
      <c r="JG2" s="170">
        <f t="shared" si="4"/>
        <v>259</v>
      </c>
      <c r="JH2" s="170">
        <f t="shared" si="4"/>
        <v>260</v>
      </c>
      <c r="JI2" s="170">
        <f t="shared" si="4"/>
        <v>261</v>
      </c>
      <c r="JJ2" s="170">
        <f t="shared" si="4"/>
        <v>262</v>
      </c>
      <c r="JK2" s="170">
        <f t="shared" si="4"/>
        <v>263</v>
      </c>
      <c r="JL2" s="170">
        <f t="shared" si="4"/>
        <v>264</v>
      </c>
      <c r="JM2" s="170">
        <f t="shared" si="4"/>
        <v>265</v>
      </c>
      <c r="JN2" s="170">
        <f t="shared" si="4"/>
        <v>266</v>
      </c>
      <c r="JO2" s="170">
        <f t="shared" si="4"/>
        <v>267</v>
      </c>
      <c r="JP2" s="170">
        <f t="shared" si="4"/>
        <v>268</v>
      </c>
      <c r="JQ2" s="170">
        <f t="shared" si="4"/>
        <v>269</v>
      </c>
      <c r="JR2" s="170">
        <f t="shared" si="4"/>
        <v>270</v>
      </c>
      <c r="JS2" s="170">
        <f t="shared" si="4"/>
        <v>271</v>
      </c>
      <c r="JT2" s="170">
        <f t="shared" si="4"/>
        <v>272</v>
      </c>
      <c r="JU2" s="170">
        <f t="shared" si="4"/>
        <v>273</v>
      </c>
      <c r="JV2" s="170">
        <f t="shared" si="4"/>
        <v>274</v>
      </c>
      <c r="JW2" s="170">
        <f t="shared" si="4"/>
        <v>275</v>
      </c>
      <c r="JX2" s="170">
        <f t="shared" si="4"/>
        <v>276</v>
      </c>
      <c r="JY2" s="170">
        <f t="shared" si="4"/>
        <v>277</v>
      </c>
      <c r="JZ2" s="170">
        <f t="shared" si="4"/>
        <v>278</v>
      </c>
      <c r="KA2" s="170">
        <f t="shared" si="4"/>
        <v>279</v>
      </c>
      <c r="KB2" s="170">
        <f t="shared" si="4"/>
        <v>280</v>
      </c>
      <c r="KC2" s="170">
        <f t="shared" si="4"/>
        <v>281</v>
      </c>
      <c r="KD2" s="170">
        <f t="shared" si="4"/>
        <v>282</v>
      </c>
      <c r="KE2" s="170">
        <f t="shared" si="4"/>
        <v>283</v>
      </c>
      <c r="KF2" s="170">
        <f t="shared" si="4"/>
        <v>284</v>
      </c>
      <c r="KG2" s="170">
        <f t="shared" si="4"/>
        <v>285</v>
      </c>
      <c r="KH2" s="170">
        <f t="shared" si="4"/>
        <v>286</v>
      </c>
      <c r="KI2" s="170">
        <f t="shared" si="4"/>
        <v>287</v>
      </c>
      <c r="KJ2" s="170">
        <f t="shared" si="4"/>
        <v>288</v>
      </c>
      <c r="KK2" s="170">
        <f t="shared" si="4"/>
        <v>289</v>
      </c>
      <c r="KL2" s="170">
        <f t="shared" si="4"/>
        <v>290</v>
      </c>
      <c r="KM2" s="170">
        <f t="shared" si="4"/>
        <v>291</v>
      </c>
      <c r="KN2" s="170">
        <f t="shared" si="4"/>
        <v>292</v>
      </c>
      <c r="KO2" s="170">
        <f t="shared" si="4"/>
        <v>293</v>
      </c>
      <c r="KP2" s="170">
        <f t="shared" si="4"/>
        <v>294</v>
      </c>
      <c r="KQ2" s="170">
        <f t="shared" si="4"/>
        <v>295</v>
      </c>
      <c r="KR2" s="170">
        <f t="shared" si="4"/>
        <v>296</v>
      </c>
      <c r="KS2" s="170">
        <f t="shared" si="4"/>
        <v>297</v>
      </c>
      <c r="KT2" s="170">
        <f t="shared" si="4"/>
        <v>298</v>
      </c>
      <c r="KU2" s="170">
        <f t="shared" si="4"/>
        <v>299</v>
      </c>
      <c r="KV2" s="170">
        <f t="shared" si="4"/>
        <v>300</v>
      </c>
      <c r="KW2" s="170">
        <f t="shared" si="4"/>
        <v>301</v>
      </c>
      <c r="KX2" s="170">
        <f t="shared" si="4"/>
        <v>302</v>
      </c>
      <c r="KY2" s="170">
        <f t="shared" si="4"/>
        <v>303</v>
      </c>
      <c r="KZ2" s="170">
        <f t="shared" si="4"/>
        <v>304</v>
      </c>
      <c r="LA2" s="170">
        <f t="shared" si="4"/>
        <v>305</v>
      </c>
      <c r="LB2" s="170">
        <f t="shared" si="4"/>
        <v>306</v>
      </c>
      <c r="LC2" s="170">
        <f t="shared" si="4"/>
        <v>307</v>
      </c>
      <c r="LD2" s="170">
        <f t="shared" si="4"/>
        <v>308</v>
      </c>
      <c r="LE2" s="170">
        <f t="shared" si="4"/>
        <v>309</v>
      </c>
      <c r="LF2" s="170">
        <f t="shared" si="4"/>
        <v>310</v>
      </c>
      <c r="LG2" s="170">
        <f t="shared" si="4"/>
        <v>311</v>
      </c>
      <c r="LH2" s="170">
        <f t="shared" si="4"/>
        <v>312</v>
      </c>
      <c r="LI2" s="170">
        <f t="shared" si="4"/>
        <v>313</v>
      </c>
      <c r="LJ2" s="170">
        <f t="shared" si="4"/>
        <v>314</v>
      </c>
      <c r="LK2" s="170">
        <f t="shared" si="4"/>
        <v>315</v>
      </c>
      <c r="LL2" s="170">
        <f t="shared" si="4"/>
        <v>316</v>
      </c>
      <c r="LM2" s="170">
        <f t="shared" si="4"/>
        <v>317</v>
      </c>
      <c r="LN2" s="170">
        <f t="shared" si="4"/>
        <v>318</v>
      </c>
      <c r="LO2" s="170">
        <f t="shared" si="4"/>
        <v>319</v>
      </c>
      <c r="LP2" s="170">
        <f t="shared" ref="LP2:OA2" si="5">LO2+1</f>
        <v>320</v>
      </c>
      <c r="LQ2" s="170">
        <f t="shared" si="5"/>
        <v>321</v>
      </c>
      <c r="LR2" s="170">
        <f t="shared" si="5"/>
        <v>322</v>
      </c>
      <c r="LS2" s="170">
        <f t="shared" si="5"/>
        <v>323</v>
      </c>
      <c r="LT2" s="170">
        <f t="shared" si="5"/>
        <v>324</v>
      </c>
      <c r="LU2" s="170">
        <f t="shared" si="5"/>
        <v>325</v>
      </c>
      <c r="LV2" s="170">
        <f t="shared" si="5"/>
        <v>326</v>
      </c>
      <c r="LW2" s="170">
        <f t="shared" si="5"/>
        <v>327</v>
      </c>
      <c r="LX2" s="170">
        <f t="shared" si="5"/>
        <v>328</v>
      </c>
      <c r="LY2" s="170">
        <f t="shared" si="5"/>
        <v>329</v>
      </c>
      <c r="LZ2" s="170">
        <f t="shared" si="5"/>
        <v>330</v>
      </c>
      <c r="MA2" s="170">
        <f t="shared" si="5"/>
        <v>331</v>
      </c>
      <c r="MB2" s="170">
        <f t="shared" si="5"/>
        <v>332</v>
      </c>
      <c r="MC2" s="170">
        <f t="shared" si="5"/>
        <v>333</v>
      </c>
      <c r="MD2" s="170">
        <f t="shared" si="5"/>
        <v>334</v>
      </c>
      <c r="ME2" s="170">
        <f t="shared" si="5"/>
        <v>335</v>
      </c>
      <c r="MF2" s="170">
        <f t="shared" si="5"/>
        <v>336</v>
      </c>
      <c r="MG2" s="170">
        <f t="shared" si="5"/>
        <v>337</v>
      </c>
      <c r="MH2" s="170">
        <f t="shared" si="5"/>
        <v>338</v>
      </c>
      <c r="MI2" s="170">
        <f t="shared" si="5"/>
        <v>339</v>
      </c>
      <c r="MJ2" s="170">
        <f t="shared" si="5"/>
        <v>340</v>
      </c>
      <c r="MK2" s="170">
        <f t="shared" si="5"/>
        <v>341</v>
      </c>
      <c r="ML2" s="170">
        <f t="shared" si="5"/>
        <v>342</v>
      </c>
      <c r="MM2" s="170">
        <f t="shared" si="5"/>
        <v>343</v>
      </c>
      <c r="MN2" s="170">
        <f t="shared" si="5"/>
        <v>344</v>
      </c>
      <c r="MO2" s="170">
        <f t="shared" si="5"/>
        <v>345</v>
      </c>
      <c r="MP2" s="170">
        <f t="shared" si="5"/>
        <v>346</v>
      </c>
      <c r="MQ2" s="170">
        <f t="shared" si="5"/>
        <v>347</v>
      </c>
      <c r="MR2" s="170">
        <f t="shared" si="5"/>
        <v>348</v>
      </c>
      <c r="MS2" s="170">
        <f t="shared" si="5"/>
        <v>349</v>
      </c>
      <c r="MT2" s="170">
        <f t="shared" si="5"/>
        <v>350</v>
      </c>
      <c r="MU2" s="170">
        <f t="shared" si="5"/>
        <v>351</v>
      </c>
      <c r="MV2" s="170">
        <f t="shared" si="5"/>
        <v>352</v>
      </c>
      <c r="MW2" s="170">
        <f t="shared" si="5"/>
        <v>353</v>
      </c>
      <c r="MX2" s="170">
        <f t="shared" si="5"/>
        <v>354</v>
      </c>
      <c r="MY2" s="170">
        <f t="shared" si="5"/>
        <v>355</v>
      </c>
      <c r="MZ2" s="170">
        <f t="shared" si="5"/>
        <v>356</v>
      </c>
      <c r="NA2" s="170">
        <f t="shared" si="5"/>
        <v>357</v>
      </c>
      <c r="NB2" s="170">
        <f t="shared" si="5"/>
        <v>358</v>
      </c>
      <c r="NC2" s="170">
        <f t="shared" si="5"/>
        <v>359</v>
      </c>
      <c r="ND2" s="170">
        <f t="shared" si="5"/>
        <v>360</v>
      </c>
      <c r="NE2" s="170">
        <f t="shared" si="5"/>
        <v>361</v>
      </c>
      <c r="NF2" s="170">
        <f t="shared" si="5"/>
        <v>362</v>
      </c>
      <c r="NG2" s="170">
        <f t="shared" si="5"/>
        <v>363</v>
      </c>
      <c r="NH2" s="170">
        <f t="shared" si="5"/>
        <v>364</v>
      </c>
      <c r="NI2" s="170">
        <f t="shared" si="5"/>
        <v>365</v>
      </c>
      <c r="NJ2" s="170">
        <f t="shared" si="5"/>
        <v>366</v>
      </c>
      <c r="NK2" s="170">
        <f t="shared" si="5"/>
        <v>367</v>
      </c>
      <c r="NL2" s="170">
        <f t="shared" si="5"/>
        <v>368</v>
      </c>
      <c r="NM2" s="170">
        <f t="shared" si="5"/>
        <v>369</v>
      </c>
      <c r="NN2" s="170">
        <f t="shared" si="5"/>
        <v>370</v>
      </c>
      <c r="NO2" s="170">
        <f t="shared" si="5"/>
        <v>371</v>
      </c>
      <c r="NP2" s="170">
        <f t="shared" si="5"/>
        <v>372</v>
      </c>
      <c r="NQ2" s="170">
        <f t="shared" si="5"/>
        <v>373</v>
      </c>
      <c r="NR2" s="170">
        <f t="shared" si="5"/>
        <v>374</v>
      </c>
      <c r="NS2" s="170">
        <f t="shared" si="5"/>
        <v>375</v>
      </c>
      <c r="NT2" s="170">
        <f t="shared" si="5"/>
        <v>376</v>
      </c>
      <c r="NU2" s="170">
        <f t="shared" si="5"/>
        <v>377</v>
      </c>
      <c r="NV2" s="170">
        <f t="shared" si="5"/>
        <v>378</v>
      </c>
      <c r="NW2" s="170">
        <f t="shared" si="5"/>
        <v>379</v>
      </c>
      <c r="NX2" s="170">
        <f t="shared" si="5"/>
        <v>380</v>
      </c>
      <c r="NY2" s="170">
        <f t="shared" si="5"/>
        <v>381</v>
      </c>
      <c r="NZ2" s="170">
        <f t="shared" si="5"/>
        <v>382</v>
      </c>
      <c r="OA2" s="170">
        <f t="shared" si="5"/>
        <v>383</v>
      </c>
      <c r="OB2" s="170">
        <f t="shared" ref="OB2:OH2" si="6">OA2+1</f>
        <v>384</v>
      </c>
      <c r="OC2" s="170">
        <f t="shared" si="6"/>
        <v>385</v>
      </c>
      <c r="OD2" s="170">
        <f t="shared" si="6"/>
        <v>386</v>
      </c>
      <c r="OE2" s="170">
        <f t="shared" si="6"/>
        <v>387</v>
      </c>
      <c r="OF2" s="170">
        <f t="shared" si="6"/>
        <v>388</v>
      </c>
      <c r="OG2" s="170">
        <f t="shared" si="6"/>
        <v>389</v>
      </c>
      <c r="OH2" s="105">
        <f t="shared" si="6"/>
        <v>390</v>
      </c>
    </row>
    <row r="3" spans="1:398" ht="37.5" hidden="1" x14ac:dyDescent="0.35">
      <c r="A3" s="106" t="s">
        <v>737</v>
      </c>
      <c r="B3" s="102"/>
      <c r="C3" s="102"/>
      <c r="D3" s="102"/>
      <c r="E3" s="102"/>
      <c r="F3" s="102"/>
      <c r="G3" s="102"/>
      <c r="H3" s="178" t="s">
        <v>504</v>
      </c>
      <c r="I3" s="109" t="s">
        <v>744</v>
      </c>
      <c r="J3" s="109" t="s">
        <v>744</v>
      </c>
      <c r="K3" s="109" t="s">
        <v>744</v>
      </c>
      <c r="L3" s="109" t="s">
        <v>744</v>
      </c>
      <c r="M3" s="109" t="s">
        <v>744</v>
      </c>
      <c r="N3" s="109" t="s">
        <v>744</v>
      </c>
      <c r="O3" s="108" t="s">
        <v>745</v>
      </c>
      <c r="P3" s="108" t="s">
        <v>745</v>
      </c>
      <c r="Q3" s="108" t="s">
        <v>745</v>
      </c>
      <c r="R3" s="108" t="s">
        <v>745</v>
      </c>
      <c r="S3" s="108" t="s">
        <v>745</v>
      </c>
      <c r="T3" s="108" t="s">
        <v>745</v>
      </c>
      <c r="U3" s="108" t="s">
        <v>745</v>
      </c>
      <c r="V3" s="108" t="s">
        <v>745</v>
      </c>
      <c r="W3" s="108" t="s">
        <v>745</v>
      </c>
      <c r="X3" s="108" t="s">
        <v>745</v>
      </c>
      <c r="Y3" s="108" t="s">
        <v>745</v>
      </c>
      <c r="Z3" s="108" t="s">
        <v>745</v>
      </c>
      <c r="AA3" s="108" t="s">
        <v>745</v>
      </c>
      <c r="AB3" s="108" t="s">
        <v>745</v>
      </c>
      <c r="AC3" s="108" t="s">
        <v>745</v>
      </c>
      <c r="AD3" s="108" t="s">
        <v>745</v>
      </c>
      <c r="AE3" s="108" t="s">
        <v>745</v>
      </c>
      <c r="AF3" s="108" t="s">
        <v>745</v>
      </c>
      <c r="AG3" s="108" t="s">
        <v>745</v>
      </c>
      <c r="AH3" s="108" t="s">
        <v>745</v>
      </c>
      <c r="AI3" s="108" t="s">
        <v>745</v>
      </c>
      <c r="AJ3" s="108" t="s">
        <v>745</v>
      </c>
      <c r="AK3" s="108" t="s">
        <v>745</v>
      </c>
      <c r="AL3" s="108" t="s">
        <v>745</v>
      </c>
      <c r="AM3" s="108" t="s">
        <v>745</v>
      </c>
      <c r="AN3" s="108" t="s">
        <v>745</v>
      </c>
      <c r="AO3" s="108" t="s">
        <v>745</v>
      </c>
      <c r="AP3" s="108" t="s">
        <v>745</v>
      </c>
      <c r="AQ3" s="108" t="s">
        <v>745</v>
      </c>
      <c r="AR3" s="108" t="s">
        <v>745</v>
      </c>
      <c r="AS3" s="108" t="s">
        <v>745</v>
      </c>
      <c r="AT3" s="108" t="s">
        <v>745</v>
      </c>
      <c r="AU3" s="108" t="s">
        <v>745</v>
      </c>
      <c r="AV3" s="108" t="s">
        <v>745</v>
      </c>
      <c r="AW3" s="108" t="s">
        <v>745</v>
      </c>
      <c r="AX3" s="108" t="s">
        <v>745</v>
      </c>
      <c r="AY3" s="108" t="s">
        <v>745</v>
      </c>
      <c r="AZ3" s="108" t="s">
        <v>744</v>
      </c>
      <c r="BA3" s="108" t="s">
        <v>744</v>
      </c>
      <c r="BB3" s="108" t="s">
        <v>744</v>
      </c>
      <c r="BC3" s="108" t="s">
        <v>744</v>
      </c>
      <c r="BD3" s="108" t="s">
        <v>744</v>
      </c>
      <c r="BE3" s="108" t="s">
        <v>744</v>
      </c>
      <c r="BF3" s="108" t="s">
        <v>744</v>
      </c>
      <c r="BG3" s="108" t="s">
        <v>744</v>
      </c>
      <c r="BH3" s="108" t="s">
        <v>744</v>
      </c>
      <c r="BI3" s="108" t="s">
        <v>744</v>
      </c>
      <c r="BJ3" s="108" t="s">
        <v>744</v>
      </c>
      <c r="BK3" s="108" t="s">
        <v>744</v>
      </c>
      <c r="BL3" s="108" t="s">
        <v>744</v>
      </c>
      <c r="BM3" s="108" t="s">
        <v>744</v>
      </c>
      <c r="BN3" s="108" t="s">
        <v>744</v>
      </c>
      <c r="BO3" s="108" t="s">
        <v>744</v>
      </c>
      <c r="BP3" s="108" t="s">
        <v>744</v>
      </c>
      <c r="BQ3" s="108" t="s">
        <v>744</v>
      </c>
      <c r="BR3" s="108" t="s">
        <v>744</v>
      </c>
      <c r="BS3" s="108" t="s">
        <v>744</v>
      </c>
      <c r="BT3" s="108" t="s">
        <v>744</v>
      </c>
      <c r="BU3" s="108" t="s">
        <v>744</v>
      </c>
      <c r="BV3" s="108" t="s">
        <v>744</v>
      </c>
      <c r="BW3" s="108" t="s">
        <v>744</v>
      </c>
      <c r="BX3" s="108" t="s">
        <v>744</v>
      </c>
      <c r="BY3" s="108" t="s">
        <v>744</v>
      </c>
      <c r="BZ3" s="108" t="s">
        <v>744</v>
      </c>
      <c r="CA3" s="108" t="s">
        <v>744</v>
      </c>
      <c r="CB3" s="108" t="s">
        <v>744</v>
      </c>
      <c r="CC3" s="108" t="s">
        <v>744</v>
      </c>
      <c r="CD3" s="108" t="s">
        <v>744</v>
      </c>
      <c r="CE3" s="108" t="s">
        <v>744</v>
      </c>
      <c r="CF3" s="108" t="s">
        <v>744</v>
      </c>
      <c r="CG3" s="108" t="s">
        <v>744</v>
      </c>
      <c r="CH3" s="108" t="s">
        <v>744</v>
      </c>
      <c r="CI3" s="108" t="s">
        <v>744</v>
      </c>
      <c r="CJ3" s="108" t="s">
        <v>744</v>
      </c>
      <c r="CK3" s="108" t="s">
        <v>744</v>
      </c>
      <c r="CL3" s="108" t="s">
        <v>744</v>
      </c>
      <c r="CM3" s="108" t="s">
        <v>744</v>
      </c>
      <c r="CN3" s="108" t="s">
        <v>744</v>
      </c>
      <c r="CO3" s="108" t="s">
        <v>744</v>
      </c>
      <c r="CP3" s="108" t="s">
        <v>744</v>
      </c>
      <c r="CQ3" s="108" t="s">
        <v>744</v>
      </c>
      <c r="CR3" s="108" t="s">
        <v>744</v>
      </c>
      <c r="CS3" s="108" t="s">
        <v>744</v>
      </c>
      <c r="CT3" s="108" t="s">
        <v>744</v>
      </c>
      <c r="CU3" s="108" t="s">
        <v>744</v>
      </c>
      <c r="CV3" s="108" t="s">
        <v>744</v>
      </c>
      <c r="CW3" s="108" t="s">
        <v>744</v>
      </c>
      <c r="CX3" s="108" t="s">
        <v>744</v>
      </c>
      <c r="CY3" s="108" t="s">
        <v>744</v>
      </c>
      <c r="CZ3" s="108" t="s">
        <v>744</v>
      </c>
      <c r="DA3" s="108" t="s">
        <v>744</v>
      </c>
      <c r="DB3" s="108" t="s">
        <v>744</v>
      </c>
      <c r="DC3" s="108" t="s">
        <v>744</v>
      </c>
      <c r="DD3" s="108" t="s">
        <v>744</v>
      </c>
      <c r="DE3" s="108" t="s">
        <v>744</v>
      </c>
      <c r="DF3" s="108" t="s">
        <v>744</v>
      </c>
      <c r="DG3" s="108" t="s">
        <v>744</v>
      </c>
      <c r="DH3" s="108" t="s">
        <v>744</v>
      </c>
      <c r="DI3" s="108" t="s">
        <v>744</v>
      </c>
      <c r="DJ3" s="108" t="s">
        <v>744</v>
      </c>
      <c r="DK3" s="108" t="s">
        <v>744</v>
      </c>
      <c r="DL3" s="108" t="s">
        <v>744</v>
      </c>
      <c r="DM3" s="108" t="s">
        <v>744</v>
      </c>
      <c r="DN3" s="108" t="s">
        <v>744</v>
      </c>
      <c r="DO3" s="108" t="s">
        <v>744</v>
      </c>
      <c r="DP3" s="108" t="s">
        <v>744</v>
      </c>
      <c r="DQ3" s="108" t="s">
        <v>744</v>
      </c>
      <c r="DR3" s="108" t="s">
        <v>744</v>
      </c>
      <c r="DS3" s="108" t="s">
        <v>744</v>
      </c>
      <c r="DT3" s="108" t="s">
        <v>744</v>
      </c>
      <c r="DU3" s="108" t="s">
        <v>744</v>
      </c>
      <c r="DV3" s="108" t="s">
        <v>744</v>
      </c>
      <c r="DW3" s="108" t="s">
        <v>744</v>
      </c>
      <c r="DX3" s="108" t="s">
        <v>744</v>
      </c>
      <c r="DY3" s="108" t="s">
        <v>744</v>
      </c>
      <c r="DZ3" s="108" t="s">
        <v>744</v>
      </c>
      <c r="EA3" s="108" t="s">
        <v>744</v>
      </c>
      <c r="EB3" s="108" t="s">
        <v>744</v>
      </c>
      <c r="EC3" s="108" t="s">
        <v>744</v>
      </c>
      <c r="ED3" s="108" t="s">
        <v>744</v>
      </c>
      <c r="EE3" s="108" t="s">
        <v>744</v>
      </c>
      <c r="EF3" s="108" t="s">
        <v>744</v>
      </c>
      <c r="EG3" s="108" t="s">
        <v>744</v>
      </c>
      <c r="EH3" s="108" t="s">
        <v>744</v>
      </c>
      <c r="EI3" s="108" t="s">
        <v>744</v>
      </c>
      <c r="EJ3" s="108" t="s">
        <v>744</v>
      </c>
      <c r="EK3" s="108" t="s">
        <v>744</v>
      </c>
      <c r="EL3" s="108"/>
      <c r="EM3" s="108" t="s">
        <v>744</v>
      </c>
      <c r="EN3" s="108" t="s">
        <v>744</v>
      </c>
      <c r="EO3" s="108" t="s">
        <v>744</v>
      </c>
      <c r="EP3" s="108" t="s">
        <v>744</v>
      </c>
      <c r="EQ3" s="108" t="s">
        <v>744</v>
      </c>
      <c r="ER3" s="108" t="s">
        <v>744</v>
      </c>
      <c r="ES3" s="108" t="s">
        <v>744</v>
      </c>
      <c r="ET3" s="108" t="s">
        <v>744</v>
      </c>
      <c r="EU3" s="108" t="s">
        <v>744</v>
      </c>
      <c r="EV3" s="108" t="s">
        <v>744</v>
      </c>
      <c r="EW3" s="108" t="s">
        <v>744</v>
      </c>
      <c r="EX3" s="108" t="s">
        <v>744</v>
      </c>
      <c r="EY3" s="108" t="s">
        <v>744</v>
      </c>
      <c r="EZ3" s="108" t="s">
        <v>744</v>
      </c>
      <c r="FA3" s="108" t="s">
        <v>744</v>
      </c>
      <c r="FB3" s="108" t="s">
        <v>744</v>
      </c>
      <c r="FC3" s="108" t="s">
        <v>744</v>
      </c>
      <c r="FD3" s="108" t="s">
        <v>744</v>
      </c>
      <c r="FE3" s="108" t="s">
        <v>744</v>
      </c>
      <c r="FF3" s="108" t="s">
        <v>744</v>
      </c>
      <c r="FG3" s="108" t="s">
        <v>744</v>
      </c>
      <c r="FH3" s="108" t="s">
        <v>744</v>
      </c>
      <c r="FI3" s="108" t="s">
        <v>744</v>
      </c>
      <c r="FJ3" s="108" t="s">
        <v>744</v>
      </c>
      <c r="FK3" s="108" t="s">
        <v>744</v>
      </c>
      <c r="FL3" s="108" t="s">
        <v>744</v>
      </c>
      <c r="FM3" s="108" t="s">
        <v>744</v>
      </c>
      <c r="FN3" s="108" t="s">
        <v>744</v>
      </c>
      <c r="FO3" s="108" t="s">
        <v>744</v>
      </c>
      <c r="FP3" s="108" t="s">
        <v>744</v>
      </c>
      <c r="FQ3" s="108" t="s">
        <v>744</v>
      </c>
      <c r="FR3" s="108" t="s">
        <v>744</v>
      </c>
      <c r="FS3" s="108" t="s">
        <v>744</v>
      </c>
      <c r="FT3" s="108" t="s">
        <v>744</v>
      </c>
      <c r="FU3" s="108" t="s">
        <v>744</v>
      </c>
      <c r="FV3" s="108" t="s">
        <v>744</v>
      </c>
      <c r="FW3" s="108" t="s">
        <v>744</v>
      </c>
      <c r="FX3" s="108" t="s">
        <v>744</v>
      </c>
      <c r="FY3" s="108" t="s">
        <v>744</v>
      </c>
      <c r="FZ3" s="108" t="s">
        <v>744</v>
      </c>
      <c r="GA3" s="108" t="s">
        <v>744</v>
      </c>
      <c r="GB3" s="108" t="s">
        <v>744</v>
      </c>
      <c r="GC3" s="108" t="s">
        <v>744</v>
      </c>
      <c r="GD3" s="108" t="s">
        <v>744</v>
      </c>
      <c r="GE3" s="108" t="s">
        <v>744</v>
      </c>
      <c r="GF3" s="108" t="s">
        <v>744</v>
      </c>
      <c r="GG3" s="108" t="s">
        <v>744</v>
      </c>
      <c r="GH3" s="108" t="s">
        <v>744</v>
      </c>
      <c r="GI3" s="108" t="s">
        <v>744</v>
      </c>
      <c r="GJ3" s="108" t="s">
        <v>744</v>
      </c>
      <c r="GK3" s="108" t="s">
        <v>744</v>
      </c>
      <c r="GL3" s="108" t="s">
        <v>744</v>
      </c>
      <c r="GM3" s="108" t="s">
        <v>744</v>
      </c>
      <c r="GN3" s="108" t="s">
        <v>744</v>
      </c>
      <c r="GO3" s="108" t="s">
        <v>744</v>
      </c>
      <c r="GP3" s="108" t="s">
        <v>744</v>
      </c>
      <c r="GQ3" s="108" t="s">
        <v>744</v>
      </c>
      <c r="GR3" s="108" t="s">
        <v>744</v>
      </c>
      <c r="GS3" s="108" t="s">
        <v>744</v>
      </c>
      <c r="GT3" s="108" t="s">
        <v>744</v>
      </c>
      <c r="GU3" s="108" t="s">
        <v>744</v>
      </c>
      <c r="GV3" s="108" t="s">
        <v>744</v>
      </c>
      <c r="GW3" s="108" t="s">
        <v>744</v>
      </c>
      <c r="GX3" s="108" t="s">
        <v>744</v>
      </c>
      <c r="GY3" s="108" t="s">
        <v>744</v>
      </c>
      <c r="GZ3" s="108" t="s">
        <v>744</v>
      </c>
      <c r="HA3" s="108" t="s">
        <v>744</v>
      </c>
      <c r="HB3" s="108" t="s">
        <v>744</v>
      </c>
      <c r="HC3" s="108" t="s">
        <v>744</v>
      </c>
      <c r="HD3" s="108" t="s">
        <v>744</v>
      </c>
      <c r="HE3" s="108" t="s">
        <v>744</v>
      </c>
      <c r="HF3" s="108" t="s">
        <v>744</v>
      </c>
      <c r="HG3" s="108" t="s">
        <v>744</v>
      </c>
      <c r="HH3" s="108" t="s">
        <v>744</v>
      </c>
      <c r="HI3" s="108" t="s">
        <v>744</v>
      </c>
      <c r="HJ3" s="108" t="s">
        <v>744</v>
      </c>
      <c r="HK3" s="108" t="s">
        <v>744</v>
      </c>
      <c r="HL3" s="108" t="s">
        <v>744</v>
      </c>
      <c r="HM3" s="108" t="s">
        <v>744</v>
      </c>
      <c r="HN3" s="108" t="s">
        <v>744</v>
      </c>
      <c r="HO3" s="108" t="s">
        <v>744</v>
      </c>
      <c r="HP3" s="108" t="s">
        <v>744</v>
      </c>
      <c r="HQ3" s="108" t="s">
        <v>744</v>
      </c>
      <c r="HR3" s="108" t="s">
        <v>744</v>
      </c>
      <c r="HS3" s="108" t="s">
        <v>744</v>
      </c>
      <c r="HT3" s="108" t="s">
        <v>744</v>
      </c>
      <c r="HU3" s="108" t="s">
        <v>744</v>
      </c>
      <c r="HV3" s="108" t="s">
        <v>744</v>
      </c>
      <c r="HW3" s="108" t="s">
        <v>744</v>
      </c>
      <c r="HX3" s="108" t="s">
        <v>744</v>
      </c>
      <c r="HY3" s="108" t="s">
        <v>744</v>
      </c>
      <c r="HZ3" s="108" t="s">
        <v>744</v>
      </c>
      <c r="IA3" s="108" t="s">
        <v>744</v>
      </c>
      <c r="IB3" s="108" t="s">
        <v>744</v>
      </c>
      <c r="IC3" s="108" t="s">
        <v>744</v>
      </c>
      <c r="ID3" s="108" t="s">
        <v>744</v>
      </c>
      <c r="IE3" s="108" t="s">
        <v>744</v>
      </c>
      <c r="IF3" s="108" t="s">
        <v>744</v>
      </c>
      <c r="IG3" s="108" t="s">
        <v>744</v>
      </c>
      <c r="IH3" s="108" t="s">
        <v>744</v>
      </c>
      <c r="II3" s="108" t="s">
        <v>744</v>
      </c>
      <c r="IJ3" s="108" t="s">
        <v>744</v>
      </c>
      <c r="IK3" s="108" t="s">
        <v>744</v>
      </c>
      <c r="IL3" s="108" t="s">
        <v>744</v>
      </c>
      <c r="IM3" s="108" t="s">
        <v>744</v>
      </c>
      <c r="IN3" s="108" t="s">
        <v>744</v>
      </c>
      <c r="IO3" s="108" t="s">
        <v>744</v>
      </c>
      <c r="IP3" s="108" t="s">
        <v>744</v>
      </c>
      <c r="IQ3" s="108" t="s">
        <v>744</v>
      </c>
      <c r="IR3" s="108" t="s">
        <v>744</v>
      </c>
      <c r="IS3" s="108" t="s">
        <v>744</v>
      </c>
      <c r="IT3" s="108" t="s">
        <v>744</v>
      </c>
      <c r="IU3" s="108" t="s">
        <v>744</v>
      </c>
      <c r="IV3" s="108" t="s">
        <v>744</v>
      </c>
      <c r="IW3" s="108" t="s">
        <v>744</v>
      </c>
      <c r="IX3" s="108" t="s">
        <v>744</v>
      </c>
      <c r="IY3" s="108" t="s">
        <v>744</v>
      </c>
      <c r="IZ3" s="108" t="s">
        <v>744</v>
      </c>
      <c r="JA3" s="108" t="s">
        <v>744</v>
      </c>
      <c r="JB3" s="108" t="s">
        <v>744</v>
      </c>
      <c r="JC3" s="108" t="s">
        <v>744</v>
      </c>
      <c r="JD3" s="108" t="s">
        <v>744</v>
      </c>
      <c r="JE3" s="108" t="s">
        <v>744</v>
      </c>
      <c r="JF3" s="108" t="s">
        <v>744</v>
      </c>
      <c r="JG3" s="108" t="s">
        <v>744</v>
      </c>
      <c r="JH3" s="108" t="s">
        <v>744</v>
      </c>
      <c r="JI3" s="108" t="s">
        <v>744</v>
      </c>
      <c r="JJ3" s="108" t="s">
        <v>744</v>
      </c>
      <c r="JK3" s="108" t="s">
        <v>744</v>
      </c>
      <c r="JL3" s="108" t="s">
        <v>744</v>
      </c>
      <c r="JM3" s="108" t="s">
        <v>744</v>
      </c>
      <c r="JN3" s="108" t="s">
        <v>744</v>
      </c>
      <c r="JO3" s="108" t="s">
        <v>744</v>
      </c>
      <c r="JP3" s="108" t="s">
        <v>744</v>
      </c>
      <c r="JQ3" s="108" t="s">
        <v>744</v>
      </c>
      <c r="JR3" s="108" t="s">
        <v>744</v>
      </c>
      <c r="JS3" s="108" t="s">
        <v>744</v>
      </c>
      <c r="JT3" s="108" t="s">
        <v>744</v>
      </c>
      <c r="JU3" s="108" t="s">
        <v>744</v>
      </c>
      <c r="JV3" s="108" t="s">
        <v>744</v>
      </c>
      <c r="JW3" s="108" t="s">
        <v>744</v>
      </c>
      <c r="JX3" s="108" t="s">
        <v>744</v>
      </c>
      <c r="JY3" s="108" t="s">
        <v>744</v>
      </c>
      <c r="JZ3" s="108" t="s">
        <v>744</v>
      </c>
      <c r="KA3" s="108" t="s">
        <v>744</v>
      </c>
      <c r="KB3" s="108" t="s">
        <v>744</v>
      </c>
      <c r="KC3" s="108" t="s">
        <v>744</v>
      </c>
      <c r="KD3" s="108" t="s">
        <v>744</v>
      </c>
      <c r="KE3" s="108" t="s">
        <v>744</v>
      </c>
      <c r="KF3" s="108" t="s">
        <v>744</v>
      </c>
      <c r="KG3" s="108" t="s">
        <v>744</v>
      </c>
      <c r="KH3" s="108" t="s">
        <v>744</v>
      </c>
      <c r="KI3" s="108" t="s">
        <v>744</v>
      </c>
      <c r="KJ3" s="108" t="s">
        <v>744</v>
      </c>
      <c r="KK3" s="108" t="s">
        <v>744</v>
      </c>
      <c r="KL3" s="108" t="s">
        <v>744</v>
      </c>
      <c r="KM3" s="108" t="s">
        <v>744</v>
      </c>
      <c r="KN3" s="108" t="s">
        <v>744</v>
      </c>
      <c r="KO3" s="108" t="s">
        <v>744</v>
      </c>
      <c r="KP3" s="108" t="s">
        <v>744</v>
      </c>
      <c r="KQ3" s="108" t="s">
        <v>744</v>
      </c>
      <c r="KR3" s="108" t="s">
        <v>744</v>
      </c>
      <c r="KS3" s="108" t="s">
        <v>744</v>
      </c>
      <c r="KT3" s="108" t="s">
        <v>744</v>
      </c>
      <c r="KU3" s="108" t="s">
        <v>744</v>
      </c>
      <c r="KV3" s="108" t="s">
        <v>744</v>
      </c>
      <c r="KW3" s="108" t="s">
        <v>744</v>
      </c>
      <c r="KX3" s="108" t="s">
        <v>744</v>
      </c>
      <c r="KY3" s="108" t="s">
        <v>744</v>
      </c>
      <c r="KZ3" s="108" t="s">
        <v>744</v>
      </c>
      <c r="LA3" s="108" t="s">
        <v>744</v>
      </c>
      <c r="LB3" s="108" t="s">
        <v>744</v>
      </c>
      <c r="LC3" s="108" t="s">
        <v>744</v>
      </c>
      <c r="LD3" s="108" t="s">
        <v>744</v>
      </c>
      <c r="LE3" s="108" t="s">
        <v>744</v>
      </c>
      <c r="LF3" s="108" t="s">
        <v>744</v>
      </c>
      <c r="LG3" s="108" t="s">
        <v>744</v>
      </c>
      <c r="LH3" s="108" t="s">
        <v>744</v>
      </c>
      <c r="LI3" s="108" t="s">
        <v>744</v>
      </c>
      <c r="LJ3" s="108" t="s">
        <v>744</v>
      </c>
      <c r="LK3" s="108" t="s">
        <v>744</v>
      </c>
      <c r="LL3" s="108" t="s">
        <v>744</v>
      </c>
      <c r="LM3" s="108" t="s">
        <v>744</v>
      </c>
      <c r="LN3" s="108" t="s">
        <v>744</v>
      </c>
      <c r="LO3" s="108" t="s">
        <v>744</v>
      </c>
      <c r="LP3" s="108" t="s">
        <v>744</v>
      </c>
      <c r="LQ3" s="108" t="s">
        <v>744</v>
      </c>
      <c r="LR3" s="108" t="s">
        <v>744</v>
      </c>
      <c r="LS3" s="108" t="s">
        <v>744</v>
      </c>
      <c r="LT3" s="108" t="s">
        <v>744</v>
      </c>
      <c r="LU3" s="108" t="s">
        <v>744</v>
      </c>
      <c r="LV3" s="108" t="s">
        <v>744</v>
      </c>
      <c r="LW3" s="108" t="s">
        <v>744</v>
      </c>
      <c r="LX3" s="108" t="s">
        <v>744</v>
      </c>
      <c r="LY3" s="108" t="s">
        <v>744</v>
      </c>
      <c r="LZ3" s="108" t="s">
        <v>744</v>
      </c>
      <c r="MA3" s="108" t="s">
        <v>744</v>
      </c>
      <c r="MB3" s="108" t="s">
        <v>744</v>
      </c>
      <c r="MC3" s="108" t="s">
        <v>744</v>
      </c>
      <c r="MD3" s="108" t="s">
        <v>744</v>
      </c>
      <c r="ME3" s="108" t="s">
        <v>744</v>
      </c>
      <c r="MF3" s="108" t="s">
        <v>744</v>
      </c>
      <c r="MG3" s="108" t="s">
        <v>744</v>
      </c>
      <c r="MH3" s="108" t="s">
        <v>744</v>
      </c>
      <c r="MI3" s="108" t="s">
        <v>744</v>
      </c>
      <c r="MJ3" s="108" t="s">
        <v>744</v>
      </c>
      <c r="MK3" s="108" t="s">
        <v>744</v>
      </c>
      <c r="ML3" s="108" t="s">
        <v>744</v>
      </c>
      <c r="MM3" s="108" t="s">
        <v>744</v>
      </c>
      <c r="MN3" s="108" t="s">
        <v>744</v>
      </c>
      <c r="MO3" s="108" t="s">
        <v>744</v>
      </c>
      <c r="MP3" s="108" t="s">
        <v>744</v>
      </c>
      <c r="MQ3" s="108" t="s">
        <v>744</v>
      </c>
      <c r="MR3" s="108" t="s">
        <v>744</v>
      </c>
      <c r="MS3" s="108" t="s">
        <v>744</v>
      </c>
      <c r="MT3" s="108" t="s">
        <v>744</v>
      </c>
      <c r="MU3" s="108" t="s">
        <v>744</v>
      </c>
      <c r="MV3" s="108" t="s">
        <v>744</v>
      </c>
      <c r="MW3" s="108" t="s">
        <v>744</v>
      </c>
      <c r="MX3" s="108" t="s">
        <v>744</v>
      </c>
      <c r="MY3" s="108" t="s">
        <v>744</v>
      </c>
      <c r="MZ3" s="108" t="s">
        <v>744</v>
      </c>
      <c r="NA3" s="108" t="s">
        <v>744</v>
      </c>
      <c r="NB3" s="108" t="s">
        <v>744</v>
      </c>
      <c r="NC3" s="108" t="s">
        <v>744</v>
      </c>
      <c r="ND3" s="108" t="s">
        <v>744</v>
      </c>
      <c r="NE3" s="108" t="s">
        <v>744</v>
      </c>
      <c r="NF3" s="108" t="s">
        <v>744</v>
      </c>
      <c r="NG3" s="108" t="s">
        <v>744</v>
      </c>
      <c r="NH3" s="108" t="s">
        <v>744</v>
      </c>
      <c r="NI3" s="108" t="s">
        <v>744</v>
      </c>
      <c r="NJ3" s="108" t="s">
        <v>744</v>
      </c>
      <c r="NK3" s="108" t="s">
        <v>744</v>
      </c>
      <c r="NL3" s="108" t="s">
        <v>744</v>
      </c>
      <c r="NM3" s="108" t="s">
        <v>744</v>
      </c>
      <c r="NN3" s="108" t="s">
        <v>744</v>
      </c>
      <c r="NO3" s="108" t="s">
        <v>744</v>
      </c>
      <c r="NP3" s="108" t="s">
        <v>744</v>
      </c>
      <c r="NQ3" s="108" t="s">
        <v>744</v>
      </c>
      <c r="NR3" s="108" t="s">
        <v>744</v>
      </c>
      <c r="NS3" s="108" t="s">
        <v>744</v>
      </c>
      <c r="NT3" s="108" t="s">
        <v>744</v>
      </c>
      <c r="NU3" s="108" t="s">
        <v>744</v>
      </c>
      <c r="NV3" s="108" t="s">
        <v>744</v>
      </c>
      <c r="NW3" s="108" t="s">
        <v>744</v>
      </c>
      <c r="NX3" s="108" t="s">
        <v>744</v>
      </c>
      <c r="NY3" s="108" t="s">
        <v>744</v>
      </c>
      <c r="NZ3" s="108" t="s">
        <v>744</v>
      </c>
      <c r="OA3" s="108" t="s">
        <v>744</v>
      </c>
      <c r="OB3" s="108" t="s">
        <v>744</v>
      </c>
      <c r="OC3" s="108" t="s">
        <v>744</v>
      </c>
      <c r="OD3" s="108" t="s">
        <v>744</v>
      </c>
      <c r="OE3" s="108" t="s">
        <v>744</v>
      </c>
      <c r="OF3" s="108" t="s">
        <v>744</v>
      </c>
      <c r="OG3" s="108" t="s">
        <v>744</v>
      </c>
      <c r="OH3" s="108" t="s">
        <v>744</v>
      </c>
    </row>
    <row r="4" spans="1:398" ht="61.5" hidden="1" customHeight="1" x14ac:dyDescent="0.35">
      <c r="A4" s="106"/>
      <c r="B4" s="102"/>
      <c r="C4" s="102"/>
      <c r="D4" s="102"/>
      <c r="E4" s="102"/>
      <c r="F4" s="102"/>
      <c r="G4" s="102"/>
      <c r="H4" s="178" t="s">
        <v>753</v>
      </c>
      <c r="I4" s="108" t="s">
        <v>749</v>
      </c>
      <c r="J4" s="108" t="s">
        <v>749</v>
      </c>
      <c r="K4" s="108" t="s">
        <v>749</v>
      </c>
      <c r="L4" s="108" t="s">
        <v>749</v>
      </c>
      <c r="M4" s="108" t="s">
        <v>749</v>
      </c>
      <c r="N4" s="108" t="s">
        <v>749</v>
      </c>
      <c r="O4" s="108">
        <v>2027</v>
      </c>
      <c r="P4" s="108">
        <v>2027</v>
      </c>
      <c r="Q4" s="108">
        <v>2027</v>
      </c>
      <c r="R4" s="108">
        <v>2027</v>
      </c>
      <c r="S4" s="108">
        <v>2027</v>
      </c>
      <c r="T4" s="108">
        <v>2027</v>
      </c>
      <c r="U4" s="108">
        <v>2027</v>
      </c>
      <c r="V4" s="108">
        <v>2027</v>
      </c>
      <c r="W4" s="108">
        <v>2027</v>
      </c>
      <c r="X4" s="108">
        <v>2027</v>
      </c>
      <c r="Y4" s="108">
        <v>2027</v>
      </c>
      <c r="Z4" s="108">
        <v>2027</v>
      </c>
      <c r="AA4" s="108">
        <v>2027</v>
      </c>
      <c r="AB4" s="108">
        <v>2027</v>
      </c>
      <c r="AC4" s="108">
        <v>2027</v>
      </c>
      <c r="AD4" s="108">
        <v>2027</v>
      </c>
      <c r="AE4" s="108">
        <v>2027</v>
      </c>
      <c r="AF4" s="108">
        <v>2027</v>
      </c>
      <c r="AG4" s="108">
        <v>2027</v>
      </c>
      <c r="AH4" s="108">
        <v>2027</v>
      </c>
      <c r="AI4" s="108">
        <v>2027</v>
      </c>
      <c r="AJ4" s="108">
        <v>2027</v>
      </c>
      <c r="AK4" s="108">
        <v>2027</v>
      </c>
      <c r="AL4" s="108">
        <v>2027</v>
      </c>
      <c r="AM4" s="108">
        <v>2027</v>
      </c>
      <c r="AN4" s="108">
        <v>2027</v>
      </c>
      <c r="AO4" s="108">
        <v>2027</v>
      </c>
      <c r="AP4" s="108">
        <v>2027</v>
      </c>
      <c r="AQ4" s="108">
        <v>2027</v>
      </c>
      <c r="AR4" s="108">
        <v>2027</v>
      </c>
      <c r="AS4" s="108">
        <v>2027</v>
      </c>
      <c r="AT4" s="108">
        <v>2027</v>
      </c>
      <c r="AU4" s="108">
        <v>2027</v>
      </c>
      <c r="AV4" s="108">
        <v>2027</v>
      </c>
      <c r="AW4" s="108">
        <v>2027</v>
      </c>
      <c r="AX4" s="108">
        <v>2027</v>
      </c>
      <c r="AY4" s="108">
        <v>2027</v>
      </c>
      <c r="AZ4" s="108" t="s">
        <v>749</v>
      </c>
      <c r="BA4" s="108" t="s">
        <v>749</v>
      </c>
      <c r="BB4" s="108" t="s">
        <v>749</v>
      </c>
      <c r="BC4" s="108" t="s">
        <v>749</v>
      </c>
      <c r="BD4" s="108" t="s">
        <v>749</v>
      </c>
      <c r="BE4" s="108" t="s">
        <v>749</v>
      </c>
      <c r="BF4" s="108" t="s">
        <v>749</v>
      </c>
      <c r="BG4" s="108" t="s">
        <v>749</v>
      </c>
      <c r="BH4" s="108" t="s">
        <v>749</v>
      </c>
      <c r="BI4" s="108" t="s">
        <v>749</v>
      </c>
      <c r="BJ4" s="108" t="s">
        <v>749</v>
      </c>
      <c r="BK4" s="108" t="s">
        <v>749</v>
      </c>
      <c r="BL4" s="108" t="s">
        <v>749</v>
      </c>
      <c r="BM4" s="108" t="s">
        <v>749</v>
      </c>
      <c r="BN4" s="108" t="s">
        <v>749</v>
      </c>
      <c r="BO4" s="108" t="s">
        <v>749</v>
      </c>
      <c r="BP4" s="108" t="s">
        <v>749</v>
      </c>
      <c r="BQ4" s="108" t="s">
        <v>749</v>
      </c>
      <c r="BR4" s="108" t="s">
        <v>749</v>
      </c>
      <c r="BS4" s="108" t="s">
        <v>749</v>
      </c>
      <c r="BT4" s="108" t="s">
        <v>749</v>
      </c>
      <c r="BU4" s="108" t="s">
        <v>749</v>
      </c>
      <c r="BV4" s="108" t="s">
        <v>749</v>
      </c>
      <c r="BW4" s="108" t="s">
        <v>749</v>
      </c>
      <c r="BX4" s="108" t="s">
        <v>749</v>
      </c>
      <c r="BY4" s="108" t="s">
        <v>749</v>
      </c>
      <c r="BZ4" s="108" t="s">
        <v>749</v>
      </c>
      <c r="CA4" s="108" t="s">
        <v>749</v>
      </c>
      <c r="CB4" s="108" t="s">
        <v>749</v>
      </c>
      <c r="CC4" s="108" t="s">
        <v>749</v>
      </c>
      <c r="CD4" s="108" t="s">
        <v>749</v>
      </c>
      <c r="CE4" s="108" t="s">
        <v>749</v>
      </c>
      <c r="CF4" s="108" t="s">
        <v>749</v>
      </c>
      <c r="CG4" s="108" t="s">
        <v>749</v>
      </c>
      <c r="CH4" s="108" t="s">
        <v>749</v>
      </c>
      <c r="CI4" s="108" t="s">
        <v>749</v>
      </c>
      <c r="CJ4" s="108" t="s">
        <v>749</v>
      </c>
      <c r="CK4" s="108" t="s">
        <v>749</v>
      </c>
      <c r="CL4" s="108" t="s">
        <v>749</v>
      </c>
      <c r="CM4" s="108" t="s">
        <v>749</v>
      </c>
      <c r="CN4" s="108" t="s">
        <v>749</v>
      </c>
      <c r="CO4" s="108" t="s">
        <v>749</v>
      </c>
      <c r="CP4" s="108" t="s">
        <v>749</v>
      </c>
      <c r="CQ4" s="108" t="s">
        <v>749</v>
      </c>
      <c r="CR4" s="108" t="s">
        <v>749</v>
      </c>
      <c r="CS4" s="108" t="s">
        <v>749</v>
      </c>
      <c r="CT4" s="108" t="s">
        <v>749</v>
      </c>
      <c r="CU4" s="108" t="s">
        <v>749</v>
      </c>
      <c r="CV4" s="108" t="s">
        <v>749</v>
      </c>
      <c r="CW4" s="108" t="s">
        <v>749</v>
      </c>
      <c r="CX4" s="108" t="s">
        <v>749</v>
      </c>
      <c r="CY4" s="108" t="s">
        <v>749</v>
      </c>
      <c r="CZ4" s="108" t="s">
        <v>749</v>
      </c>
      <c r="DA4" s="108" t="s">
        <v>749</v>
      </c>
      <c r="DB4" s="108" t="s">
        <v>749</v>
      </c>
      <c r="DC4" s="108" t="s">
        <v>749</v>
      </c>
      <c r="DD4" s="108" t="s">
        <v>749</v>
      </c>
      <c r="DE4" s="108" t="s">
        <v>749</v>
      </c>
      <c r="DF4" s="108" t="s">
        <v>749</v>
      </c>
      <c r="DG4" s="108" t="s">
        <v>749</v>
      </c>
      <c r="DH4" s="108" t="s">
        <v>749</v>
      </c>
      <c r="DI4" s="108" t="s">
        <v>749</v>
      </c>
      <c r="DJ4" s="108" t="s">
        <v>749</v>
      </c>
      <c r="DK4" s="108" t="s">
        <v>749</v>
      </c>
      <c r="DL4" s="108" t="s">
        <v>749</v>
      </c>
      <c r="DM4" s="108" t="s">
        <v>749</v>
      </c>
      <c r="DN4" s="108" t="s">
        <v>749</v>
      </c>
      <c r="DO4" s="108" t="s">
        <v>749</v>
      </c>
      <c r="DP4" s="108" t="s">
        <v>749</v>
      </c>
      <c r="DQ4" s="108" t="s">
        <v>749</v>
      </c>
      <c r="DR4" s="108" t="s">
        <v>749</v>
      </c>
      <c r="DS4" s="108" t="s">
        <v>749</v>
      </c>
      <c r="DT4" s="108" t="s">
        <v>749</v>
      </c>
      <c r="DU4" s="108" t="s">
        <v>749</v>
      </c>
      <c r="DV4" s="108" t="s">
        <v>749</v>
      </c>
      <c r="DW4" s="108" t="s">
        <v>749</v>
      </c>
      <c r="DX4" s="108" t="s">
        <v>749</v>
      </c>
      <c r="DY4" s="108" t="s">
        <v>749</v>
      </c>
      <c r="DZ4" s="108" t="s">
        <v>749</v>
      </c>
      <c r="EA4" s="108" t="s">
        <v>749</v>
      </c>
      <c r="EB4" s="108" t="s">
        <v>749</v>
      </c>
      <c r="EC4" s="108" t="s">
        <v>749</v>
      </c>
      <c r="ED4" s="108" t="s">
        <v>749</v>
      </c>
      <c r="EE4" s="108" t="s">
        <v>749</v>
      </c>
      <c r="EF4" s="108" t="s">
        <v>749</v>
      </c>
      <c r="EG4" s="108" t="s">
        <v>749</v>
      </c>
      <c r="EH4" s="108" t="s">
        <v>749</v>
      </c>
      <c r="EI4" s="108" t="s">
        <v>749</v>
      </c>
      <c r="EJ4" s="108" t="s">
        <v>749</v>
      </c>
      <c r="EK4" s="108" t="s">
        <v>749</v>
      </c>
      <c r="EL4" s="108" t="s">
        <v>749</v>
      </c>
      <c r="EM4" s="108" t="s">
        <v>749</v>
      </c>
      <c r="EN4" s="108" t="s">
        <v>749</v>
      </c>
      <c r="EO4" s="108" t="s">
        <v>749</v>
      </c>
      <c r="EP4" s="108" t="s">
        <v>749</v>
      </c>
      <c r="EQ4" s="108" t="s">
        <v>749</v>
      </c>
      <c r="ER4" s="108" t="s">
        <v>749</v>
      </c>
      <c r="ES4" s="108" t="s">
        <v>749</v>
      </c>
      <c r="ET4" s="108" t="s">
        <v>749</v>
      </c>
      <c r="EU4" s="108" t="s">
        <v>749</v>
      </c>
      <c r="EV4" s="108" t="s">
        <v>749</v>
      </c>
      <c r="EW4" s="108" t="s">
        <v>749</v>
      </c>
      <c r="EX4" s="108" t="s">
        <v>749</v>
      </c>
      <c r="EY4" s="108" t="s">
        <v>749</v>
      </c>
      <c r="EZ4" s="108" t="s">
        <v>749</v>
      </c>
      <c r="FA4" s="108" t="s">
        <v>749</v>
      </c>
      <c r="FB4" s="108" t="s">
        <v>749</v>
      </c>
      <c r="FC4" s="108" t="s">
        <v>749</v>
      </c>
      <c r="FD4" s="108" t="s">
        <v>749</v>
      </c>
      <c r="FE4" s="108" t="s">
        <v>749</v>
      </c>
      <c r="FF4" s="108" t="s">
        <v>749</v>
      </c>
      <c r="FG4" s="108" t="s">
        <v>749</v>
      </c>
      <c r="FH4" s="108" t="s">
        <v>749</v>
      </c>
      <c r="FI4" s="108" t="s">
        <v>749</v>
      </c>
      <c r="FJ4" s="108" t="s">
        <v>749</v>
      </c>
      <c r="FK4" s="108" t="s">
        <v>749</v>
      </c>
      <c r="FL4" s="108" t="s">
        <v>749</v>
      </c>
      <c r="FM4" s="108" t="s">
        <v>749</v>
      </c>
      <c r="FN4" s="108" t="s">
        <v>749</v>
      </c>
      <c r="FO4" s="108" t="s">
        <v>749</v>
      </c>
      <c r="FP4" s="108" t="s">
        <v>749</v>
      </c>
      <c r="FQ4" s="108" t="s">
        <v>749</v>
      </c>
      <c r="FR4" s="108" t="s">
        <v>749</v>
      </c>
      <c r="FS4" s="108" t="s">
        <v>749</v>
      </c>
      <c r="FT4" s="108" t="s">
        <v>749</v>
      </c>
      <c r="FU4" s="108" t="s">
        <v>749</v>
      </c>
      <c r="FV4" s="108" t="s">
        <v>749</v>
      </c>
      <c r="FW4" s="108" t="s">
        <v>749</v>
      </c>
      <c r="FX4" s="108" t="s">
        <v>749</v>
      </c>
      <c r="FY4" s="108" t="s">
        <v>749</v>
      </c>
      <c r="FZ4" s="108" t="s">
        <v>749</v>
      </c>
      <c r="GA4" s="108" t="s">
        <v>749</v>
      </c>
      <c r="GB4" s="108" t="s">
        <v>749</v>
      </c>
      <c r="GC4" s="108" t="s">
        <v>749</v>
      </c>
      <c r="GD4" s="108" t="s">
        <v>749</v>
      </c>
      <c r="GE4" s="108" t="s">
        <v>749</v>
      </c>
      <c r="GF4" s="108" t="s">
        <v>749</v>
      </c>
      <c r="GG4" s="108" t="s">
        <v>749</v>
      </c>
      <c r="GH4" s="108" t="s">
        <v>749</v>
      </c>
      <c r="GI4" s="108" t="s">
        <v>749</v>
      </c>
      <c r="GJ4" s="108" t="s">
        <v>749</v>
      </c>
      <c r="GK4" s="108" t="s">
        <v>749</v>
      </c>
      <c r="GL4" s="108" t="s">
        <v>749</v>
      </c>
      <c r="GM4" s="108" t="s">
        <v>749</v>
      </c>
      <c r="GN4" s="108" t="s">
        <v>749</v>
      </c>
      <c r="GO4" s="108" t="s">
        <v>749</v>
      </c>
      <c r="GP4" s="108" t="s">
        <v>749</v>
      </c>
      <c r="GQ4" s="108" t="s">
        <v>749</v>
      </c>
      <c r="GR4" s="108" t="s">
        <v>749</v>
      </c>
      <c r="GS4" s="108" t="s">
        <v>749</v>
      </c>
      <c r="GT4" s="108" t="s">
        <v>749</v>
      </c>
      <c r="GU4" s="108" t="s">
        <v>749</v>
      </c>
      <c r="GV4" s="108" t="s">
        <v>749</v>
      </c>
      <c r="GW4" s="108" t="s">
        <v>749</v>
      </c>
      <c r="GX4" s="108" t="s">
        <v>749</v>
      </c>
      <c r="GY4" s="108" t="s">
        <v>749</v>
      </c>
      <c r="GZ4" s="108" t="s">
        <v>749</v>
      </c>
      <c r="HA4" s="108" t="s">
        <v>749</v>
      </c>
      <c r="HB4" s="108" t="s">
        <v>749</v>
      </c>
      <c r="HC4" s="108" t="s">
        <v>749</v>
      </c>
      <c r="HD4" s="108" t="s">
        <v>749</v>
      </c>
      <c r="HE4" s="108" t="s">
        <v>749</v>
      </c>
      <c r="HF4" s="108" t="s">
        <v>749</v>
      </c>
      <c r="HG4" s="108" t="s">
        <v>749</v>
      </c>
      <c r="HH4" s="108" t="s">
        <v>749</v>
      </c>
      <c r="HI4" s="108" t="s">
        <v>749</v>
      </c>
      <c r="HJ4" s="108" t="s">
        <v>749</v>
      </c>
      <c r="HK4" s="108" t="s">
        <v>749</v>
      </c>
      <c r="HL4" s="108" t="s">
        <v>749</v>
      </c>
      <c r="HM4" s="108" t="s">
        <v>749</v>
      </c>
      <c r="HN4" s="108" t="s">
        <v>749</v>
      </c>
      <c r="HO4" s="108" t="s">
        <v>749</v>
      </c>
      <c r="HP4" s="108" t="s">
        <v>749</v>
      </c>
      <c r="HQ4" s="108" t="s">
        <v>749</v>
      </c>
      <c r="HR4" s="108" t="s">
        <v>749</v>
      </c>
      <c r="HS4" s="108" t="s">
        <v>749</v>
      </c>
      <c r="HT4" s="108" t="s">
        <v>749</v>
      </c>
      <c r="HU4" s="108" t="s">
        <v>749</v>
      </c>
      <c r="HV4" s="108" t="s">
        <v>749</v>
      </c>
      <c r="HW4" s="108" t="s">
        <v>749</v>
      </c>
      <c r="HX4" s="108" t="s">
        <v>749</v>
      </c>
      <c r="HY4" s="108" t="s">
        <v>749</v>
      </c>
      <c r="HZ4" s="108" t="s">
        <v>749</v>
      </c>
      <c r="IA4" s="108" t="s">
        <v>749</v>
      </c>
      <c r="IB4" s="108" t="s">
        <v>749</v>
      </c>
      <c r="IC4" s="108" t="s">
        <v>749</v>
      </c>
      <c r="ID4" s="108" t="s">
        <v>749</v>
      </c>
      <c r="IE4" s="108" t="s">
        <v>749</v>
      </c>
      <c r="IF4" s="108" t="s">
        <v>749</v>
      </c>
      <c r="IG4" s="108" t="s">
        <v>749</v>
      </c>
      <c r="IH4" s="108" t="s">
        <v>749</v>
      </c>
      <c r="II4" s="108" t="s">
        <v>749</v>
      </c>
      <c r="IJ4" s="108" t="s">
        <v>749</v>
      </c>
      <c r="IK4" s="108" t="s">
        <v>749</v>
      </c>
      <c r="IL4" s="108" t="s">
        <v>749</v>
      </c>
      <c r="IM4" s="108" t="s">
        <v>749</v>
      </c>
      <c r="IN4" s="108" t="s">
        <v>749</v>
      </c>
      <c r="IO4" s="108" t="s">
        <v>749</v>
      </c>
      <c r="IP4" s="108" t="s">
        <v>749</v>
      </c>
      <c r="IQ4" s="108" t="s">
        <v>749</v>
      </c>
      <c r="IR4" s="108" t="s">
        <v>749</v>
      </c>
      <c r="IS4" s="108" t="s">
        <v>749</v>
      </c>
      <c r="IT4" s="108" t="s">
        <v>749</v>
      </c>
      <c r="IU4" s="108" t="s">
        <v>749</v>
      </c>
      <c r="IV4" s="108" t="s">
        <v>749</v>
      </c>
      <c r="IW4" s="108" t="s">
        <v>749</v>
      </c>
      <c r="IX4" s="108" t="s">
        <v>749</v>
      </c>
      <c r="IY4" s="108" t="s">
        <v>749</v>
      </c>
      <c r="IZ4" s="108" t="s">
        <v>749</v>
      </c>
      <c r="JA4" s="108" t="s">
        <v>749</v>
      </c>
      <c r="JB4" s="108" t="s">
        <v>749</v>
      </c>
      <c r="JC4" s="108" t="s">
        <v>749</v>
      </c>
      <c r="JD4" s="108" t="s">
        <v>749</v>
      </c>
      <c r="JE4" s="108" t="s">
        <v>749</v>
      </c>
      <c r="JF4" s="108" t="s">
        <v>749</v>
      </c>
      <c r="JG4" s="108" t="s">
        <v>749</v>
      </c>
      <c r="JH4" s="108" t="s">
        <v>749</v>
      </c>
      <c r="JI4" s="108" t="s">
        <v>749</v>
      </c>
      <c r="JJ4" s="108" t="s">
        <v>749</v>
      </c>
      <c r="JK4" s="108" t="s">
        <v>749</v>
      </c>
      <c r="JL4" s="108" t="s">
        <v>749</v>
      </c>
      <c r="JM4" s="108" t="s">
        <v>749</v>
      </c>
      <c r="JN4" s="108" t="s">
        <v>749</v>
      </c>
      <c r="JO4" s="108" t="s">
        <v>749</v>
      </c>
      <c r="JP4" s="108" t="s">
        <v>749</v>
      </c>
      <c r="JQ4" s="108" t="s">
        <v>749</v>
      </c>
      <c r="JR4" s="108" t="s">
        <v>749</v>
      </c>
      <c r="JS4" s="108" t="s">
        <v>749</v>
      </c>
      <c r="JT4" s="108" t="s">
        <v>749</v>
      </c>
      <c r="JU4" s="108" t="s">
        <v>749</v>
      </c>
      <c r="JV4" s="108" t="s">
        <v>749</v>
      </c>
      <c r="JW4" s="108" t="s">
        <v>749</v>
      </c>
      <c r="JX4" s="108" t="s">
        <v>749</v>
      </c>
      <c r="JY4" s="108" t="s">
        <v>749</v>
      </c>
      <c r="JZ4" s="108" t="s">
        <v>749</v>
      </c>
      <c r="KA4" s="108" t="s">
        <v>749</v>
      </c>
      <c r="KB4" s="108" t="s">
        <v>749</v>
      </c>
      <c r="KC4" s="108" t="s">
        <v>749</v>
      </c>
      <c r="KD4" s="108" t="s">
        <v>749</v>
      </c>
      <c r="KE4" s="108" t="s">
        <v>749</v>
      </c>
      <c r="KF4" s="108" t="s">
        <v>749</v>
      </c>
      <c r="KG4" s="108" t="s">
        <v>749</v>
      </c>
      <c r="KH4" s="108" t="s">
        <v>749</v>
      </c>
      <c r="KI4" s="108" t="s">
        <v>749</v>
      </c>
      <c r="KJ4" s="108" t="s">
        <v>749</v>
      </c>
      <c r="KK4" s="108" t="s">
        <v>749</v>
      </c>
      <c r="KL4" s="108" t="s">
        <v>749</v>
      </c>
      <c r="KM4" s="108" t="s">
        <v>749</v>
      </c>
      <c r="KN4" s="108" t="s">
        <v>749</v>
      </c>
      <c r="KO4" s="108" t="s">
        <v>749</v>
      </c>
      <c r="KP4" s="108" t="s">
        <v>749</v>
      </c>
      <c r="KQ4" s="108" t="s">
        <v>749</v>
      </c>
      <c r="KR4" s="108" t="s">
        <v>749</v>
      </c>
      <c r="KS4" s="108" t="s">
        <v>749</v>
      </c>
      <c r="KT4" s="108" t="s">
        <v>749</v>
      </c>
      <c r="KU4" s="108" t="s">
        <v>749</v>
      </c>
      <c r="KV4" s="108" t="s">
        <v>749</v>
      </c>
      <c r="KW4" s="108" t="s">
        <v>749</v>
      </c>
      <c r="KX4" s="108" t="s">
        <v>749</v>
      </c>
      <c r="KY4" s="108" t="s">
        <v>749</v>
      </c>
      <c r="KZ4" s="108" t="s">
        <v>749</v>
      </c>
      <c r="LA4" s="108" t="s">
        <v>749</v>
      </c>
      <c r="LB4" s="108" t="s">
        <v>749</v>
      </c>
      <c r="LC4" s="108" t="s">
        <v>749</v>
      </c>
      <c r="LD4" s="108" t="s">
        <v>749</v>
      </c>
      <c r="LE4" s="108" t="s">
        <v>749</v>
      </c>
      <c r="LF4" s="108" t="s">
        <v>749</v>
      </c>
      <c r="LG4" s="108" t="s">
        <v>749</v>
      </c>
      <c r="LH4" s="108" t="s">
        <v>749</v>
      </c>
      <c r="LI4" s="108" t="s">
        <v>749</v>
      </c>
      <c r="LJ4" s="108" t="s">
        <v>749</v>
      </c>
      <c r="LK4" s="108" t="s">
        <v>749</v>
      </c>
      <c r="LL4" s="108" t="s">
        <v>749</v>
      </c>
      <c r="LM4" s="108" t="s">
        <v>749</v>
      </c>
      <c r="LN4" s="108" t="s">
        <v>749</v>
      </c>
      <c r="LO4" s="108" t="s">
        <v>749</v>
      </c>
      <c r="LP4" s="108" t="s">
        <v>749</v>
      </c>
      <c r="LQ4" s="108" t="s">
        <v>749</v>
      </c>
      <c r="LR4" s="108" t="s">
        <v>749</v>
      </c>
      <c r="LS4" s="108" t="s">
        <v>749</v>
      </c>
      <c r="LT4" s="108" t="s">
        <v>749</v>
      </c>
      <c r="LU4" s="108" t="s">
        <v>749</v>
      </c>
      <c r="LV4" s="108" t="s">
        <v>749</v>
      </c>
      <c r="LW4" s="108" t="s">
        <v>749</v>
      </c>
      <c r="LX4" s="108" t="s">
        <v>749</v>
      </c>
      <c r="LY4" s="108" t="s">
        <v>749</v>
      </c>
      <c r="LZ4" s="108" t="s">
        <v>749</v>
      </c>
      <c r="MA4" s="108" t="s">
        <v>749</v>
      </c>
      <c r="MB4" s="108" t="s">
        <v>749</v>
      </c>
      <c r="MC4" s="108" t="s">
        <v>749</v>
      </c>
      <c r="MD4" s="108" t="s">
        <v>749</v>
      </c>
      <c r="ME4" s="108" t="s">
        <v>749</v>
      </c>
      <c r="MF4" s="108" t="s">
        <v>749</v>
      </c>
      <c r="MG4" s="108" t="s">
        <v>749</v>
      </c>
      <c r="MH4" s="108" t="s">
        <v>749</v>
      </c>
      <c r="MI4" s="108" t="s">
        <v>749</v>
      </c>
      <c r="MJ4" s="108" t="s">
        <v>749</v>
      </c>
      <c r="MK4" s="108" t="s">
        <v>749</v>
      </c>
      <c r="ML4" s="108" t="s">
        <v>749</v>
      </c>
      <c r="MM4" s="108" t="s">
        <v>749</v>
      </c>
      <c r="MN4" s="108" t="s">
        <v>749</v>
      </c>
      <c r="MO4" s="108" t="s">
        <v>749</v>
      </c>
      <c r="MP4" s="108" t="s">
        <v>749</v>
      </c>
      <c r="MQ4" s="108" t="s">
        <v>749</v>
      </c>
      <c r="MR4" s="108" t="s">
        <v>749</v>
      </c>
      <c r="MS4" s="108" t="s">
        <v>749</v>
      </c>
      <c r="MT4" s="108" t="s">
        <v>749</v>
      </c>
      <c r="MU4" s="108" t="s">
        <v>749</v>
      </c>
      <c r="MV4" s="108" t="s">
        <v>749</v>
      </c>
      <c r="MW4" s="108" t="s">
        <v>749</v>
      </c>
      <c r="MX4" s="108" t="s">
        <v>749</v>
      </c>
      <c r="MY4" s="108" t="s">
        <v>749</v>
      </c>
      <c r="MZ4" s="108" t="s">
        <v>749</v>
      </c>
      <c r="NA4" s="108" t="s">
        <v>749</v>
      </c>
      <c r="NB4" s="108" t="s">
        <v>749</v>
      </c>
      <c r="NC4" s="108" t="s">
        <v>749</v>
      </c>
      <c r="ND4" s="108" t="s">
        <v>749</v>
      </c>
      <c r="NE4" s="108" t="s">
        <v>749</v>
      </c>
      <c r="NF4" s="108" t="s">
        <v>749</v>
      </c>
      <c r="NG4" s="108" t="s">
        <v>749</v>
      </c>
      <c r="NH4" s="108" t="s">
        <v>749</v>
      </c>
      <c r="NI4" s="108" t="s">
        <v>749</v>
      </c>
      <c r="NJ4" s="108" t="s">
        <v>749</v>
      </c>
      <c r="NK4" s="108" t="s">
        <v>749</v>
      </c>
      <c r="NL4" s="108" t="s">
        <v>749</v>
      </c>
      <c r="NM4" s="108" t="s">
        <v>749</v>
      </c>
      <c r="NN4" s="108" t="s">
        <v>749</v>
      </c>
      <c r="NO4" s="108" t="s">
        <v>749</v>
      </c>
      <c r="NP4" s="108" t="s">
        <v>749</v>
      </c>
      <c r="NQ4" s="108" t="s">
        <v>749</v>
      </c>
      <c r="NR4" s="108" t="s">
        <v>749</v>
      </c>
      <c r="NS4" s="108" t="s">
        <v>749</v>
      </c>
      <c r="NT4" s="108" t="s">
        <v>749</v>
      </c>
      <c r="NU4" s="108" t="s">
        <v>749</v>
      </c>
      <c r="NV4" s="108" t="s">
        <v>749</v>
      </c>
      <c r="NW4" s="108" t="s">
        <v>749</v>
      </c>
      <c r="NX4" s="108" t="s">
        <v>749</v>
      </c>
      <c r="NY4" s="108" t="s">
        <v>749</v>
      </c>
      <c r="NZ4" s="108" t="s">
        <v>749</v>
      </c>
      <c r="OA4" s="108" t="s">
        <v>749</v>
      </c>
      <c r="OB4" s="108" t="s">
        <v>749</v>
      </c>
      <c r="OC4" s="108" t="s">
        <v>749</v>
      </c>
      <c r="OD4" s="108" t="s">
        <v>749</v>
      </c>
      <c r="OE4" s="108" t="s">
        <v>749</v>
      </c>
      <c r="OF4" s="108" t="s">
        <v>749</v>
      </c>
      <c r="OG4" s="108" t="s">
        <v>749</v>
      </c>
      <c r="OH4" s="108" t="s">
        <v>749</v>
      </c>
    </row>
    <row r="5" spans="1:398" ht="59.9" hidden="1" customHeight="1" x14ac:dyDescent="0.35">
      <c r="A5" s="106"/>
      <c r="B5" s="102"/>
      <c r="C5" s="102"/>
      <c r="D5" s="102"/>
      <c r="E5" s="102"/>
      <c r="F5" s="102"/>
      <c r="G5" s="102"/>
      <c r="H5" s="178" t="s">
        <v>754</v>
      </c>
      <c r="I5" s="107" t="s">
        <v>755</v>
      </c>
      <c r="J5" s="107" t="s">
        <v>755</v>
      </c>
      <c r="K5" s="109" t="s">
        <v>755</v>
      </c>
      <c r="L5" s="108" t="s">
        <v>756</v>
      </c>
      <c r="M5" s="108" t="s">
        <v>756</v>
      </c>
      <c r="N5" s="108" t="s">
        <v>756</v>
      </c>
      <c r="O5" s="108" t="s">
        <v>757</v>
      </c>
      <c r="P5" s="108" t="s">
        <v>757</v>
      </c>
      <c r="Q5" s="108" t="s">
        <v>757</v>
      </c>
      <c r="R5" s="108" t="s">
        <v>757</v>
      </c>
      <c r="S5" s="108" t="s">
        <v>757</v>
      </c>
      <c r="T5" s="108" t="s">
        <v>757</v>
      </c>
      <c r="U5" s="108" t="s">
        <v>757</v>
      </c>
      <c r="V5" s="108" t="s">
        <v>757</v>
      </c>
      <c r="W5" s="108" t="s">
        <v>757</v>
      </c>
      <c r="X5" s="108" t="s">
        <v>757</v>
      </c>
      <c r="Y5" s="108" t="s">
        <v>757</v>
      </c>
      <c r="Z5" s="108" t="s">
        <v>757</v>
      </c>
      <c r="AA5" s="108" t="s">
        <v>757</v>
      </c>
      <c r="AB5" s="108" t="s">
        <v>757</v>
      </c>
      <c r="AC5" s="108" t="s">
        <v>757</v>
      </c>
      <c r="AD5" s="108" t="s">
        <v>757</v>
      </c>
      <c r="AE5" s="108" t="s">
        <v>757</v>
      </c>
      <c r="AF5" s="108" t="s">
        <v>757</v>
      </c>
      <c r="AG5" s="108" t="s">
        <v>757</v>
      </c>
      <c r="AH5" s="108" t="s">
        <v>757</v>
      </c>
      <c r="AI5" s="108" t="s">
        <v>757</v>
      </c>
      <c r="AJ5" s="108" t="s">
        <v>757</v>
      </c>
      <c r="AK5" s="108" t="s">
        <v>757</v>
      </c>
      <c r="AL5" s="108" t="s">
        <v>757</v>
      </c>
      <c r="AM5" s="108" t="s">
        <v>757</v>
      </c>
      <c r="AN5" s="108" t="s">
        <v>757</v>
      </c>
      <c r="AO5" s="108" t="s">
        <v>757</v>
      </c>
      <c r="AP5" s="108" t="s">
        <v>757</v>
      </c>
      <c r="AQ5" s="108" t="s">
        <v>757</v>
      </c>
      <c r="AR5" s="108" t="s">
        <v>757</v>
      </c>
      <c r="AS5" s="108" t="s">
        <v>757</v>
      </c>
      <c r="AT5" s="108" t="s">
        <v>757</v>
      </c>
      <c r="AU5" s="108" t="s">
        <v>757</v>
      </c>
      <c r="AV5" s="108" t="s">
        <v>757</v>
      </c>
      <c r="AW5" s="108" t="s">
        <v>757</v>
      </c>
      <c r="AX5" s="108" t="s">
        <v>757</v>
      </c>
      <c r="AY5" s="108" t="s">
        <v>757</v>
      </c>
      <c r="AZ5" s="108" t="s">
        <v>946</v>
      </c>
      <c r="BA5" s="108" t="s">
        <v>946</v>
      </c>
      <c r="BB5" s="108" t="s">
        <v>946</v>
      </c>
      <c r="BC5" s="108" t="s">
        <v>946</v>
      </c>
      <c r="BD5" s="108" t="s">
        <v>946</v>
      </c>
      <c r="BE5" s="108" t="s">
        <v>946</v>
      </c>
      <c r="BF5" s="108" t="s">
        <v>946</v>
      </c>
      <c r="BG5" s="108" t="s">
        <v>946</v>
      </c>
      <c r="BH5" s="108" t="s">
        <v>946</v>
      </c>
      <c r="BI5" s="108" t="s">
        <v>946</v>
      </c>
      <c r="BJ5" s="108" t="s">
        <v>946</v>
      </c>
      <c r="BK5" s="108" t="s">
        <v>946</v>
      </c>
      <c r="BL5" s="108" t="s">
        <v>946</v>
      </c>
      <c r="BM5" s="108" t="s">
        <v>946</v>
      </c>
      <c r="BN5" s="108" t="s">
        <v>946</v>
      </c>
      <c r="BO5" s="108" t="s">
        <v>946</v>
      </c>
      <c r="BP5" s="108" t="s">
        <v>946</v>
      </c>
      <c r="BQ5" s="108" t="s">
        <v>946</v>
      </c>
      <c r="BR5" s="108" t="s">
        <v>946</v>
      </c>
      <c r="BS5" s="108" t="s">
        <v>946</v>
      </c>
      <c r="BT5" s="108" t="s">
        <v>946</v>
      </c>
      <c r="BU5" s="108" t="s">
        <v>946</v>
      </c>
      <c r="BV5" s="108" t="s">
        <v>946</v>
      </c>
      <c r="BW5" s="108" t="s">
        <v>946</v>
      </c>
      <c r="BX5" s="108" t="s">
        <v>946</v>
      </c>
      <c r="BY5" s="108" t="s">
        <v>946</v>
      </c>
      <c r="BZ5" s="108" t="s">
        <v>946</v>
      </c>
      <c r="CA5" s="108" t="s">
        <v>946</v>
      </c>
      <c r="CB5" s="108" t="s">
        <v>946</v>
      </c>
      <c r="CC5" s="108" t="s">
        <v>946</v>
      </c>
      <c r="CD5" s="108" t="s">
        <v>946</v>
      </c>
      <c r="CE5" s="108" t="s">
        <v>946</v>
      </c>
      <c r="CF5" s="108" t="s">
        <v>946</v>
      </c>
      <c r="CG5" s="108" t="s">
        <v>946</v>
      </c>
      <c r="CH5" s="108" t="s">
        <v>946</v>
      </c>
      <c r="CI5" s="108" t="s">
        <v>946</v>
      </c>
      <c r="CJ5" s="108" t="s">
        <v>946</v>
      </c>
      <c r="CK5" s="108" t="s">
        <v>946</v>
      </c>
      <c r="CL5" s="108" t="s">
        <v>946</v>
      </c>
      <c r="CM5" s="108" t="s">
        <v>946</v>
      </c>
      <c r="CN5" s="108" t="s">
        <v>946</v>
      </c>
      <c r="CO5" s="108" t="s">
        <v>946</v>
      </c>
      <c r="CP5" s="108" t="s">
        <v>946</v>
      </c>
      <c r="CQ5" s="108" t="s">
        <v>946</v>
      </c>
      <c r="CR5" s="108" t="s">
        <v>946</v>
      </c>
      <c r="CS5" s="108" t="s">
        <v>946</v>
      </c>
      <c r="CT5" s="108" t="s">
        <v>946</v>
      </c>
      <c r="CU5" s="108" t="s">
        <v>946</v>
      </c>
      <c r="CV5" s="108" t="s">
        <v>946</v>
      </c>
      <c r="CW5" s="108" t="s">
        <v>946</v>
      </c>
      <c r="CX5" s="108" t="s">
        <v>946</v>
      </c>
      <c r="CY5" s="108" t="s">
        <v>946</v>
      </c>
      <c r="CZ5" s="108" t="s">
        <v>946</v>
      </c>
      <c r="DA5" s="108" t="s">
        <v>946</v>
      </c>
      <c r="DB5" s="108" t="s">
        <v>946</v>
      </c>
      <c r="DC5" s="108" t="s">
        <v>946</v>
      </c>
      <c r="DD5" s="108" t="s">
        <v>946</v>
      </c>
      <c r="DE5" s="108" t="s">
        <v>946</v>
      </c>
      <c r="DF5" s="108" t="s">
        <v>946</v>
      </c>
      <c r="DG5" s="108" t="s">
        <v>946</v>
      </c>
      <c r="DH5" s="108" t="s">
        <v>946</v>
      </c>
      <c r="DI5" s="108" t="s">
        <v>946</v>
      </c>
      <c r="DJ5" s="108" t="s">
        <v>946</v>
      </c>
      <c r="DK5" s="108" t="s">
        <v>946</v>
      </c>
      <c r="DL5" s="108" t="s">
        <v>946</v>
      </c>
      <c r="DM5" s="108" t="s">
        <v>946</v>
      </c>
      <c r="DN5" s="108" t="s">
        <v>946</v>
      </c>
      <c r="DO5" s="108" t="s">
        <v>946</v>
      </c>
      <c r="DP5" s="108" t="s">
        <v>946</v>
      </c>
      <c r="DQ5" s="108" t="s">
        <v>946</v>
      </c>
      <c r="DR5" s="108" t="s">
        <v>946</v>
      </c>
      <c r="DS5" s="108" t="s">
        <v>946</v>
      </c>
      <c r="DT5" s="108" t="s">
        <v>946</v>
      </c>
      <c r="DU5" s="108" t="s">
        <v>946</v>
      </c>
      <c r="DV5" s="108" t="s">
        <v>946</v>
      </c>
      <c r="DW5" s="108" t="s">
        <v>946</v>
      </c>
      <c r="DX5" s="108" t="s">
        <v>946</v>
      </c>
      <c r="DY5" s="108" t="s">
        <v>946</v>
      </c>
      <c r="DZ5" s="108" t="s">
        <v>946</v>
      </c>
      <c r="EA5" s="108" t="s">
        <v>946</v>
      </c>
      <c r="EB5" s="108" t="s">
        <v>946</v>
      </c>
      <c r="EC5" s="108" t="s">
        <v>946</v>
      </c>
      <c r="ED5" s="108" t="s">
        <v>946</v>
      </c>
      <c r="EE5" s="108" t="s">
        <v>946</v>
      </c>
      <c r="EF5" s="108" t="s">
        <v>946</v>
      </c>
      <c r="EG5" s="108" t="s">
        <v>946</v>
      </c>
      <c r="EH5" s="108" t="s">
        <v>946</v>
      </c>
      <c r="EI5" s="108" t="s">
        <v>946</v>
      </c>
      <c r="EJ5" s="108" t="s">
        <v>946</v>
      </c>
      <c r="EK5" s="108" t="s">
        <v>946</v>
      </c>
      <c r="EL5" s="108" t="s">
        <v>946</v>
      </c>
      <c r="EM5" s="108" t="s">
        <v>946</v>
      </c>
      <c r="EN5" s="108" t="s">
        <v>946</v>
      </c>
      <c r="EO5" s="108" t="s">
        <v>946</v>
      </c>
      <c r="EP5" s="108" t="s">
        <v>946</v>
      </c>
      <c r="EQ5" s="108" t="s">
        <v>946</v>
      </c>
      <c r="ER5" s="108" t="s">
        <v>946</v>
      </c>
      <c r="ES5" s="108" t="s">
        <v>946</v>
      </c>
      <c r="ET5" s="108" t="s">
        <v>946</v>
      </c>
      <c r="EU5" s="108" t="s">
        <v>946</v>
      </c>
      <c r="EV5" s="108" t="s">
        <v>946</v>
      </c>
      <c r="EW5" s="108" t="s">
        <v>946</v>
      </c>
      <c r="EX5" s="108" t="s">
        <v>946</v>
      </c>
      <c r="EY5" s="108" t="s">
        <v>946</v>
      </c>
      <c r="EZ5" s="108" t="s">
        <v>946</v>
      </c>
      <c r="FA5" s="108" t="s">
        <v>946</v>
      </c>
      <c r="FB5" s="108" t="s">
        <v>946</v>
      </c>
      <c r="FC5" s="108" t="s">
        <v>946</v>
      </c>
      <c r="FD5" s="108" t="s">
        <v>946</v>
      </c>
      <c r="FE5" s="108" t="s">
        <v>946</v>
      </c>
      <c r="FF5" s="108" t="s">
        <v>946</v>
      </c>
      <c r="FG5" s="108" t="s">
        <v>946</v>
      </c>
      <c r="FH5" s="108" t="s">
        <v>946</v>
      </c>
      <c r="FI5" s="108" t="s">
        <v>946</v>
      </c>
      <c r="FJ5" s="108" t="s">
        <v>946</v>
      </c>
      <c r="FK5" s="108" t="s">
        <v>946</v>
      </c>
      <c r="FL5" s="108" t="s">
        <v>946</v>
      </c>
      <c r="FM5" s="108" t="s">
        <v>946</v>
      </c>
      <c r="FN5" s="108" t="s">
        <v>946</v>
      </c>
      <c r="FO5" s="108" t="s">
        <v>946</v>
      </c>
      <c r="FP5" s="108" t="s">
        <v>946</v>
      </c>
      <c r="FQ5" s="108" t="s">
        <v>946</v>
      </c>
      <c r="FR5" s="108" t="s">
        <v>946</v>
      </c>
      <c r="FS5" s="108" t="s">
        <v>946</v>
      </c>
      <c r="FT5" s="108" t="s">
        <v>946</v>
      </c>
      <c r="FU5" s="108" t="s">
        <v>946</v>
      </c>
      <c r="FV5" s="108" t="s">
        <v>946</v>
      </c>
      <c r="FW5" s="108" t="s">
        <v>946</v>
      </c>
      <c r="FX5" s="108" t="s">
        <v>946</v>
      </c>
      <c r="FY5" s="108" t="s">
        <v>946</v>
      </c>
      <c r="FZ5" s="108" t="s">
        <v>946</v>
      </c>
      <c r="GA5" s="108" t="s">
        <v>946</v>
      </c>
      <c r="GB5" s="108" t="s">
        <v>946</v>
      </c>
      <c r="GC5" s="108" t="s">
        <v>946</v>
      </c>
      <c r="GD5" s="108" t="s">
        <v>946</v>
      </c>
      <c r="GE5" s="108" t="s">
        <v>946</v>
      </c>
      <c r="GF5" s="108" t="s">
        <v>946</v>
      </c>
      <c r="GG5" s="108" t="s">
        <v>946</v>
      </c>
      <c r="GH5" s="108" t="s">
        <v>946</v>
      </c>
      <c r="GI5" s="108" t="s">
        <v>946</v>
      </c>
      <c r="GJ5" s="108" t="s">
        <v>946</v>
      </c>
      <c r="GK5" s="108" t="s">
        <v>946</v>
      </c>
      <c r="GL5" s="108" t="s">
        <v>946</v>
      </c>
      <c r="GM5" s="108" t="s">
        <v>946</v>
      </c>
      <c r="GN5" s="108" t="s">
        <v>946</v>
      </c>
      <c r="GO5" s="108" t="s">
        <v>946</v>
      </c>
      <c r="GP5" s="108" t="s">
        <v>946</v>
      </c>
      <c r="GQ5" s="108" t="s">
        <v>946</v>
      </c>
      <c r="GR5" s="108" t="s">
        <v>946</v>
      </c>
      <c r="GS5" s="108" t="s">
        <v>946</v>
      </c>
      <c r="GT5" s="108" t="s">
        <v>946</v>
      </c>
      <c r="GU5" s="108" t="s">
        <v>946</v>
      </c>
      <c r="GV5" s="108" t="s">
        <v>946</v>
      </c>
      <c r="GW5" s="108" t="s">
        <v>946</v>
      </c>
      <c r="GX5" s="108" t="s">
        <v>946</v>
      </c>
      <c r="GY5" s="108" t="s">
        <v>946</v>
      </c>
      <c r="GZ5" s="108" t="s">
        <v>946</v>
      </c>
      <c r="HA5" s="108" t="s">
        <v>946</v>
      </c>
      <c r="HB5" s="108" t="s">
        <v>946</v>
      </c>
      <c r="HC5" s="108" t="s">
        <v>946</v>
      </c>
      <c r="HD5" s="108" t="s">
        <v>946</v>
      </c>
      <c r="HE5" s="108" t="s">
        <v>946</v>
      </c>
      <c r="HF5" s="108" t="s">
        <v>946</v>
      </c>
      <c r="HG5" s="108" t="s">
        <v>946</v>
      </c>
      <c r="HH5" s="108" t="s">
        <v>946</v>
      </c>
      <c r="HI5" s="108" t="s">
        <v>946</v>
      </c>
      <c r="HJ5" s="108" t="s">
        <v>946</v>
      </c>
      <c r="HK5" s="108" t="s">
        <v>946</v>
      </c>
      <c r="HL5" s="108" t="s">
        <v>946</v>
      </c>
      <c r="HM5" s="108" t="s">
        <v>946</v>
      </c>
      <c r="HN5" s="108" t="s">
        <v>946</v>
      </c>
      <c r="HO5" s="108" t="s">
        <v>946</v>
      </c>
      <c r="HP5" s="108" t="s">
        <v>946</v>
      </c>
      <c r="HQ5" s="108" t="s">
        <v>946</v>
      </c>
      <c r="HR5" s="108" t="s">
        <v>946</v>
      </c>
      <c r="HS5" s="108" t="s">
        <v>946</v>
      </c>
      <c r="HT5" s="108" t="s">
        <v>946</v>
      </c>
      <c r="HU5" s="108" t="s">
        <v>946</v>
      </c>
      <c r="HV5" s="108" t="s">
        <v>946</v>
      </c>
      <c r="HW5" s="108" t="s">
        <v>946</v>
      </c>
      <c r="HX5" s="108" t="s">
        <v>946</v>
      </c>
      <c r="HY5" s="108" t="s">
        <v>946</v>
      </c>
      <c r="HZ5" s="108" t="s">
        <v>946</v>
      </c>
      <c r="IA5" s="108" t="s">
        <v>946</v>
      </c>
      <c r="IB5" s="108" t="s">
        <v>946</v>
      </c>
      <c r="IC5" s="108" t="s">
        <v>946</v>
      </c>
      <c r="ID5" s="108" t="s">
        <v>946</v>
      </c>
      <c r="IE5" s="108" t="s">
        <v>946</v>
      </c>
      <c r="IF5" s="108" t="s">
        <v>946</v>
      </c>
      <c r="IG5" s="108" t="s">
        <v>946</v>
      </c>
      <c r="IH5" s="108" t="s">
        <v>946</v>
      </c>
      <c r="II5" s="108" t="s">
        <v>946</v>
      </c>
      <c r="IJ5" s="108" t="s">
        <v>946</v>
      </c>
      <c r="IK5" s="108" t="s">
        <v>946</v>
      </c>
      <c r="IL5" s="108" t="s">
        <v>946</v>
      </c>
      <c r="IM5" s="108" t="s">
        <v>946</v>
      </c>
      <c r="IN5" s="108" t="s">
        <v>946</v>
      </c>
      <c r="IO5" s="108" t="s">
        <v>946</v>
      </c>
      <c r="IP5" s="108" t="s">
        <v>946</v>
      </c>
      <c r="IQ5" s="108" t="s">
        <v>946</v>
      </c>
      <c r="IR5" s="108" t="s">
        <v>946</v>
      </c>
      <c r="IS5" s="108" t="s">
        <v>946</v>
      </c>
      <c r="IT5" s="108" t="s">
        <v>946</v>
      </c>
      <c r="IU5" s="108" t="s">
        <v>946</v>
      </c>
      <c r="IV5" s="108" t="s">
        <v>946</v>
      </c>
      <c r="IW5" s="108" t="s">
        <v>946</v>
      </c>
      <c r="IX5" s="108" t="s">
        <v>946</v>
      </c>
      <c r="IY5" s="108" t="s">
        <v>946</v>
      </c>
      <c r="IZ5" s="108" t="s">
        <v>946</v>
      </c>
      <c r="JA5" s="108" t="s">
        <v>946</v>
      </c>
      <c r="JB5" s="108" t="s">
        <v>946</v>
      </c>
      <c r="JC5" s="108" t="s">
        <v>946</v>
      </c>
      <c r="JD5" s="108" t="s">
        <v>946</v>
      </c>
      <c r="JE5" s="108" t="s">
        <v>946</v>
      </c>
      <c r="JF5" s="108" t="s">
        <v>946</v>
      </c>
      <c r="JG5" s="108" t="s">
        <v>946</v>
      </c>
      <c r="JH5" s="108" t="s">
        <v>946</v>
      </c>
      <c r="JI5" s="108" t="s">
        <v>946</v>
      </c>
      <c r="JJ5" s="108" t="s">
        <v>946</v>
      </c>
      <c r="JK5" s="108" t="s">
        <v>946</v>
      </c>
      <c r="JL5" s="108" t="s">
        <v>946</v>
      </c>
      <c r="JM5" s="108" t="s">
        <v>946</v>
      </c>
      <c r="JN5" s="108" t="s">
        <v>946</v>
      </c>
      <c r="JO5" s="108" t="s">
        <v>946</v>
      </c>
      <c r="JP5" s="108" t="s">
        <v>946</v>
      </c>
      <c r="JQ5" s="108" t="s">
        <v>946</v>
      </c>
      <c r="JR5" s="108" t="s">
        <v>946</v>
      </c>
      <c r="JS5" s="108" t="s">
        <v>946</v>
      </c>
      <c r="JT5" s="108" t="s">
        <v>946</v>
      </c>
      <c r="JU5" s="108" t="s">
        <v>946</v>
      </c>
      <c r="JV5" s="108" t="s">
        <v>946</v>
      </c>
      <c r="JW5" s="108" t="s">
        <v>946</v>
      </c>
      <c r="JX5" s="108" t="s">
        <v>946</v>
      </c>
      <c r="JY5" s="108" t="s">
        <v>946</v>
      </c>
      <c r="JZ5" s="108" t="s">
        <v>946</v>
      </c>
      <c r="KA5" s="108" t="s">
        <v>946</v>
      </c>
      <c r="KB5" s="108" t="s">
        <v>946</v>
      </c>
      <c r="KC5" s="108" t="s">
        <v>946</v>
      </c>
      <c r="KD5" s="108" t="s">
        <v>946</v>
      </c>
      <c r="KE5" s="108" t="s">
        <v>946</v>
      </c>
      <c r="KF5" s="108" t="s">
        <v>946</v>
      </c>
      <c r="KG5" s="108" t="s">
        <v>946</v>
      </c>
      <c r="KH5" s="108" t="s">
        <v>946</v>
      </c>
      <c r="KI5" s="108" t="s">
        <v>946</v>
      </c>
      <c r="KJ5" s="108" t="s">
        <v>946</v>
      </c>
      <c r="KK5" s="108" t="s">
        <v>946</v>
      </c>
      <c r="KL5" s="108" t="s">
        <v>946</v>
      </c>
      <c r="KM5" s="108" t="s">
        <v>946</v>
      </c>
      <c r="KN5" s="108" t="s">
        <v>946</v>
      </c>
      <c r="KO5" s="108" t="s">
        <v>946</v>
      </c>
      <c r="KP5" s="108" t="s">
        <v>946</v>
      </c>
      <c r="KQ5" s="108" t="s">
        <v>946</v>
      </c>
      <c r="KR5" s="108" t="s">
        <v>946</v>
      </c>
      <c r="KS5" s="108" t="s">
        <v>946</v>
      </c>
      <c r="KT5" s="108" t="s">
        <v>946</v>
      </c>
      <c r="KU5" s="108" t="s">
        <v>946</v>
      </c>
      <c r="KV5" s="108" t="s">
        <v>946</v>
      </c>
      <c r="KW5" s="108" t="s">
        <v>946</v>
      </c>
      <c r="KX5" s="108" t="s">
        <v>946</v>
      </c>
      <c r="KY5" s="108" t="s">
        <v>946</v>
      </c>
      <c r="KZ5" s="108" t="s">
        <v>946</v>
      </c>
      <c r="LA5" s="108" t="s">
        <v>946</v>
      </c>
      <c r="LB5" s="108" t="s">
        <v>946</v>
      </c>
      <c r="LC5" s="108" t="s">
        <v>946</v>
      </c>
      <c r="LD5" s="108" t="s">
        <v>946</v>
      </c>
      <c r="LE5" s="108" t="s">
        <v>946</v>
      </c>
      <c r="LF5" s="108" t="s">
        <v>946</v>
      </c>
      <c r="LG5" s="108" t="s">
        <v>946</v>
      </c>
      <c r="LH5" s="108" t="s">
        <v>946</v>
      </c>
      <c r="LI5" s="108" t="s">
        <v>946</v>
      </c>
      <c r="LJ5" s="108" t="s">
        <v>946</v>
      </c>
      <c r="LK5" s="108" t="s">
        <v>946</v>
      </c>
      <c r="LL5" s="108" t="s">
        <v>946</v>
      </c>
      <c r="LM5" s="108" t="s">
        <v>946</v>
      </c>
      <c r="LN5" s="108" t="s">
        <v>946</v>
      </c>
      <c r="LO5" s="108" t="s">
        <v>946</v>
      </c>
      <c r="LP5" s="108" t="s">
        <v>946</v>
      </c>
      <c r="LQ5" s="108" t="s">
        <v>946</v>
      </c>
      <c r="LR5" s="108" t="s">
        <v>946</v>
      </c>
      <c r="LS5" s="108" t="s">
        <v>946</v>
      </c>
      <c r="LT5" s="108" t="s">
        <v>946</v>
      </c>
      <c r="LU5" s="108" t="s">
        <v>946</v>
      </c>
      <c r="LV5" s="108" t="s">
        <v>946</v>
      </c>
      <c r="LW5" s="108" t="s">
        <v>946</v>
      </c>
      <c r="LX5" s="108" t="s">
        <v>946</v>
      </c>
      <c r="LY5" s="108" t="s">
        <v>946</v>
      </c>
      <c r="LZ5" s="108" t="s">
        <v>946</v>
      </c>
      <c r="MA5" s="108" t="s">
        <v>946</v>
      </c>
      <c r="MB5" s="108" t="s">
        <v>946</v>
      </c>
      <c r="MC5" s="108" t="s">
        <v>946</v>
      </c>
      <c r="MD5" s="108" t="s">
        <v>946</v>
      </c>
      <c r="ME5" s="108" t="s">
        <v>946</v>
      </c>
      <c r="MF5" s="108" t="s">
        <v>946</v>
      </c>
      <c r="MG5" s="108" t="s">
        <v>946</v>
      </c>
      <c r="MH5" s="108" t="s">
        <v>946</v>
      </c>
      <c r="MI5" s="108" t="s">
        <v>946</v>
      </c>
      <c r="MJ5" s="108" t="s">
        <v>946</v>
      </c>
      <c r="MK5" s="108" t="s">
        <v>946</v>
      </c>
      <c r="ML5" s="108" t="s">
        <v>946</v>
      </c>
      <c r="MM5" s="108" t="s">
        <v>946</v>
      </c>
      <c r="MN5" s="108" t="s">
        <v>946</v>
      </c>
      <c r="MO5" s="108" t="s">
        <v>946</v>
      </c>
      <c r="MP5" s="108" t="s">
        <v>946</v>
      </c>
      <c r="MQ5" s="108" t="s">
        <v>946</v>
      </c>
      <c r="MR5" s="108" t="s">
        <v>946</v>
      </c>
      <c r="MS5" s="108" t="s">
        <v>946</v>
      </c>
      <c r="MT5" s="108" t="s">
        <v>946</v>
      </c>
      <c r="MU5" s="108" t="s">
        <v>946</v>
      </c>
      <c r="MV5" s="108" t="s">
        <v>946</v>
      </c>
      <c r="MW5" s="108" t="s">
        <v>946</v>
      </c>
      <c r="MX5" s="108" t="s">
        <v>946</v>
      </c>
      <c r="MY5" s="108" t="s">
        <v>946</v>
      </c>
      <c r="MZ5" s="108" t="s">
        <v>946</v>
      </c>
      <c r="NA5" s="108" t="s">
        <v>946</v>
      </c>
      <c r="NB5" s="108" t="s">
        <v>946</v>
      </c>
      <c r="NC5" s="108" t="s">
        <v>946</v>
      </c>
      <c r="ND5" s="108" t="s">
        <v>946</v>
      </c>
      <c r="NE5" s="108" t="s">
        <v>946</v>
      </c>
      <c r="NF5" s="108" t="s">
        <v>946</v>
      </c>
      <c r="NG5" s="108" t="s">
        <v>946</v>
      </c>
      <c r="NH5" s="108" t="s">
        <v>946</v>
      </c>
      <c r="NI5" s="108" t="s">
        <v>946</v>
      </c>
      <c r="NJ5" s="108" t="s">
        <v>946</v>
      </c>
      <c r="NK5" s="108" t="s">
        <v>946</v>
      </c>
      <c r="NL5" s="108" t="s">
        <v>946</v>
      </c>
      <c r="NM5" s="108" t="s">
        <v>946</v>
      </c>
      <c r="NN5" s="108" t="s">
        <v>946</v>
      </c>
      <c r="NO5" s="108" t="s">
        <v>946</v>
      </c>
      <c r="NP5" s="108" t="s">
        <v>946</v>
      </c>
      <c r="NQ5" s="108" t="s">
        <v>946</v>
      </c>
      <c r="NR5" s="108" t="s">
        <v>946</v>
      </c>
      <c r="NS5" s="108" t="s">
        <v>946</v>
      </c>
      <c r="NT5" s="108" t="s">
        <v>946</v>
      </c>
      <c r="NU5" s="108" t="s">
        <v>946</v>
      </c>
      <c r="NV5" s="108" t="s">
        <v>946</v>
      </c>
      <c r="NW5" s="108" t="s">
        <v>946</v>
      </c>
      <c r="NX5" s="108" t="s">
        <v>946</v>
      </c>
      <c r="NY5" s="108" t="s">
        <v>946</v>
      </c>
      <c r="NZ5" s="108" t="s">
        <v>946</v>
      </c>
      <c r="OA5" s="108" t="s">
        <v>946</v>
      </c>
      <c r="OB5" s="108" t="s">
        <v>946</v>
      </c>
      <c r="OC5" s="108" t="s">
        <v>946</v>
      </c>
      <c r="OD5" s="108" t="s">
        <v>946</v>
      </c>
      <c r="OE5" s="108" t="s">
        <v>946</v>
      </c>
      <c r="OF5" s="108" t="s">
        <v>946</v>
      </c>
      <c r="OG5" s="108" t="s">
        <v>946</v>
      </c>
      <c r="OH5" s="108" t="s">
        <v>946</v>
      </c>
    </row>
    <row r="6" spans="1:398" ht="39.65" hidden="1" customHeight="1" x14ac:dyDescent="0.35">
      <c r="A6" s="106"/>
      <c r="B6" s="102"/>
      <c r="C6" s="102"/>
      <c r="D6" s="102"/>
      <c r="E6" s="102"/>
      <c r="F6" s="102"/>
      <c r="G6" s="102"/>
      <c r="H6" s="178" t="s">
        <v>758</v>
      </c>
      <c r="I6" s="109"/>
      <c r="J6" s="109"/>
      <c r="K6" s="109"/>
      <c r="L6" s="109"/>
      <c r="M6" s="109"/>
      <c r="N6" s="109"/>
      <c r="O6" s="109" t="s">
        <v>738</v>
      </c>
      <c r="P6" s="108" t="s">
        <v>759</v>
      </c>
      <c r="Q6" s="108" t="s">
        <v>759</v>
      </c>
      <c r="R6" s="109" t="s">
        <v>760</v>
      </c>
      <c r="S6" s="109" t="s">
        <v>760</v>
      </c>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08"/>
      <c r="GJ6" s="108"/>
      <c r="GK6" s="108"/>
      <c r="GL6" s="108"/>
      <c r="GM6" s="108"/>
      <c r="GN6" s="108"/>
      <c r="GO6" s="108"/>
      <c r="GP6" s="108"/>
      <c r="GQ6" s="108"/>
      <c r="GR6" s="108"/>
      <c r="GS6" s="108"/>
      <c r="GT6" s="108"/>
      <c r="GU6" s="108"/>
      <c r="GV6" s="108"/>
      <c r="GW6" s="108"/>
      <c r="GX6" s="108"/>
      <c r="GY6" s="108"/>
      <c r="GZ6" s="108"/>
      <c r="HA6" s="108"/>
      <c r="HB6" s="108"/>
      <c r="HC6" s="108"/>
      <c r="HD6" s="108"/>
      <c r="HE6" s="108"/>
      <c r="HF6" s="108"/>
      <c r="HG6" s="108"/>
      <c r="HH6" s="108"/>
      <c r="HI6" s="108"/>
      <c r="HJ6" s="108"/>
      <c r="HK6" s="108"/>
      <c r="HL6" s="108"/>
      <c r="HM6" s="108"/>
      <c r="HN6" s="108"/>
      <c r="HO6" s="108"/>
      <c r="HP6" s="108"/>
      <c r="HQ6" s="108"/>
      <c r="HR6" s="108"/>
      <c r="HS6" s="108"/>
      <c r="HT6" s="108"/>
      <c r="HU6" s="108"/>
      <c r="HV6" s="108"/>
      <c r="HW6" s="108"/>
      <c r="HX6" s="108"/>
      <c r="HY6" s="108"/>
      <c r="HZ6" s="108"/>
      <c r="IA6" s="108"/>
      <c r="IB6" s="108"/>
      <c r="IC6" s="108"/>
      <c r="ID6" s="108"/>
      <c r="IE6" s="108"/>
      <c r="IF6" s="108"/>
      <c r="IG6" s="108"/>
      <c r="IH6" s="108"/>
      <c r="II6" s="108"/>
      <c r="IJ6" s="108"/>
      <c r="IK6" s="108"/>
      <c r="IL6" s="108"/>
      <c r="IM6" s="108"/>
      <c r="IN6" s="108"/>
      <c r="IO6" s="108"/>
      <c r="IP6" s="108"/>
      <c r="IQ6" s="108"/>
      <c r="IR6" s="108"/>
      <c r="IS6" s="108"/>
      <c r="IT6" s="108"/>
      <c r="IU6" s="108"/>
      <c r="IV6" s="108"/>
      <c r="IW6" s="108"/>
      <c r="IX6" s="108"/>
      <c r="IY6" s="108"/>
      <c r="IZ6" s="108"/>
      <c r="JA6" s="108"/>
      <c r="JB6" s="108"/>
      <c r="JC6" s="108"/>
      <c r="JD6" s="108"/>
      <c r="JE6" s="108"/>
      <c r="JF6" s="108"/>
      <c r="JG6" s="108"/>
      <c r="JH6" s="108"/>
      <c r="JI6" s="108"/>
      <c r="JJ6" s="108"/>
      <c r="JK6" s="108"/>
      <c r="JL6" s="108"/>
      <c r="JM6" s="108"/>
      <c r="JN6" s="108"/>
      <c r="JO6" s="108"/>
      <c r="JP6" s="108"/>
      <c r="JQ6" s="108"/>
      <c r="JR6" s="108"/>
      <c r="JS6" s="108"/>
      <c r="JT6" s="108"/>
      <c r="JU6" s="108"/>
      <c r="JV6" s="108"/>
      <c r="JW6" s="108"/>
      <c r="JX6" s="108"/>
      <c r="JY6" s="108"/>
      <c r="JZ6" s="108"/>
      <c r="KA6" s="108"/>
      <c r="KB6" s="108"/>
      <c r="KC6" s="108"/>
      <c r="KD6" s="108"/>
      <c r="KE6" s="108"/>
      <c r="KF6" s="108"/>
      <c r="KG6" s="108"/>
      <c r="KH6" s="108"/>
      <c r="KI6" s="108"/>
      <c r="KJ6" s="108"/>
      <c r="KK6" s="108"/>
      <c r="KL6" s="108"/>
      <c r="KM6" s="108"/>
      <c r="KN6" s="108"/>
      <c r="KO6" s="108"/>
      <c r="KP6" s="108"/>
      <c r="KQ6" s="108"/>
      <c r="KR6" s="108"/>
      <c r="KS6" s="108"/>
      <c r="KT6" s="108"/>
      <c r="KU6" s="108"/>
      <c r="KV6" s="108"/>
      <c r="KW6" s="108"/>
      <c r="KX6" s="108"/>
      <c r="KY6" s="108"/>
      <c r="KZ6" s="108"/>
      <c r="LA6" s="108"/>
      <c r="LB6" s="108"/>
      <c r="LC6" s="108"/>
      <c r="LD6" s="108"/>
      <c r="LE6" s="108"/>
      <c r="LF6" s="108"/>
      <c r="LG6" s="108"/>
      <c r="LH6" s="108"/>
      <c r="LI6" s="108"/>
      <c r="LJ6" s="108"/>
      <c r="LK6" s="108"/>
      <c r="LL6" s="108"/>
      <c r="LM6" s="108"/>
      <c r="LN6" s="108"/>
      <c r="LO6" s="108"/>
      <c r="LP6" s="108"/>
      <c r="LQ6" s="108"/>
      <c r="LR6" s="108"/>
      <c r="LS6" s="108"/>
      <c r="LT6" s="108"/>
      <c r="LU6" s="108"/>
      <c r="LV6" s="108"/>
      <c r="LW6" s="108"/>
      <c r="LX6" s="108"/>
      <c r="LY6" s="108"/>
      <c r="LZ6" s="108"/>
      <c r="MA6" s="108"/>
      <c r="MB6" s="108"/>
      <c r="MC6" s="108"/>
      <c r="MD6" s="108"/>
      <c r="ME6" s="108"/>
      <c r="MF6" s="108"/>
      <c r="MG6" s="108"/>
      <c r="MH6" s="108"/>
      <c r="MI6" s="108"/>
      <c r="MJ6" s="108"/>
      <c r="MK6" s="108"/>
      <c r="ML6" s="108"/>
      <c r="MM6" s="108"/>
      <c r="MN6" s="108"/>
      <c r="MO6" s="108"/>
      <c r="MP6" s="108"/>
      <c r="MQ6" s="108"/>
      <c r="MR6" s="108"/>
      <c r="MS6" s="108"/>
      <c r="MT6" s="108"/>
      <c r="MU6" s="108"/>
      <c r="MV6" s="108"/>
      <c r="MW6" s="108"/>
      <c r="MX6" s="108"/>
      <c r="MY6" s="108"/>
      <c r="MZ6" s="108"/>
      <c r="NA6" s="108"/>
      <c r="NB6" s="108"/>
      <c r="NC6" s="108"/>
      <c r="ND6" s="108"/>
      <c r="NE6" s="108"/>
      <c r="NF6" s="108"/>
      <c r="NG6" s="108"/>
      <c r="NH6" s="108"/>
      <c r="NI6" s="108"/>
      <c r="NJ6" s="108"/>
      <c r="NK6" s="108"/>
      <c r="NL6" s="108"/>
      <c r="NM6" s="108"/>
      <c r="NN6" s="108"/>
      <c r="NO6" s="108"/>
      <c r="NP6" s="108"/>
      <c r="NQ6" s="108"/>
      <c r="NR6" s="108"/>
      <c r="NS6" s="108"/>
      <c r="NT6" s="108"/>
      <c r="NU6" s="108"/>
      <c r="NV6" s="108"/>
      <c r="NW6" s="108"/>
      <c r="NX6" s="108"/>
      <c r="NY6" s="108"/>
      <c r="NZ6" s="108"/>
      <c r="OA6" s="108"/>
      <c r="OB6" s="108"/>
      <c r="OC6" s="108"/>
      <c r="OD6" s="108"/>
      <c r="OE6" s="108"/>
      <c r="OF6" s="108"/>
      <c r="OG6" s="108"/>
      <c r="OH6" s="108"/>
    </row>
    <row r="7" spans="1:398" ht="27.5" hidden="1" customHeight="1" x14ac:dyDescent="0.35">
      <c r="A7" s="106"/>
      <c r="B7" s="102"/>
      <c r="C7" s="102"/>
      <c r="D7" s="102"/>
      <c r="E7" s="102"/>
      <c r="F7" s="102"/>
      <c r="G7" s="102"/>
      <c r="H7" s="178" t="s">
        <v>761</v>
      </c>
      <c r="I7" s="107" t="s">
        <v>738</v>
      </c>
      <c r="J7" s="108" t="s">
        <v>762</v>
      </c>
      <c r="K7" s="108" t="s">
        <v>936</v>
      </c>
      <c r="L7" s="109" t="s">
        <v>738</v>
      </c>
      <c r="M7" s="108" t="s">
        <v>937</v>
      </c>
      <c r="N7" s="108" t="s">
        <v>936</v>
      </c>
      <c r="O7" s="109" t="s">
        <v>738</v>
      </c>
      <c r="P7" s="109" t="s">
        <v>738</v>
      </c>
      <c r="Q7" s="108" t="s">
        <v>936</v>
      </c>
      <c r="R7" s="109" t="s">
        <v>738</v>
      </c>
      <c r="S7" s="108" t="s">
        <v>763</v>
      </c>
      <c r="T7" s="108" t="s">
        <v>764</v>
      </c>
      <c r="U7" s="108" t="s">
        <v>764</v>
      </c>
      <c r="V7" s="108" t="s">
        <v>764</v>
      </c>
      <c r="W7" s="108" t="s">
        <v>764</v>
      </c>
      <c r="X7" s="108" t="s">
        <v>764</v>
      </c>
      <c r="Y7" s="108" t="s">
        <v>764</v>
      </c>
      <c r="Z7" s="108" t="s">
        <v>764</v>
      </c>
      <c r="AA7" s="108" t="s">
        <v>764</v>
      </c>
      <c r="AB7" s="108" t="s">
        <v>764</v>
      </c>
      <c r="AC7" s="108" t="s">
        <v>764</v>
      </c>
      <c r="AD7" s="108" t="s">
        <v>764</v>
      </c>
      <c r="AE7" s="108" t="s">
        <v>764</v>
      </c>
      <c r="AF7" s="108" t="s">
        <v>764</v>
      </c>
      <c r="AG7" s="108" t="s">
        <v>764</v>
      </c>
      <c r="AH7" s="108" t="s">
        <v>764</v>
      </c>
      <c r="AI7" s="108" t="s">
        <v>764</v>
      </c>
      <c r="AJ7" s="108" t="s">
        <v>764</v>
      </c>
      <c r="AK7" s="108" t="s">
        <v>764</v>
      </c>
      <c r="AL7" s="108" t="s">
        <v>764</v>
      </c>
      <c r="AM7" s="108" t="s">
        <v>764</v>
      </c>
      <c r="AN7" s="108" t="s">
        <v>764</v>
      </c>
      <c r="AO7" s="108" t="s">
        <v>764</v>
      </c>
      <c r="AP7" s="108" t="s">
        <v>764</v>
      </c>
      <c r="AQ7" s="108" t="s">
        <v>764</v>
      </c>
      <c r="AR7" s="108" t="s">
        <v>764</v>
      </c>
      <c r="AS7" s="108" t="s">
        <v>764</v>
      </c>
      <c r="AT7" s="108" t="s">
        <v>764</v>
      </c>
      <c r="AU7" s="108" t="s">
        <v>764</v>
      </c>
      <c r="AV7" s="108" t="s">
        <v>764</v>
      </c>
      <c r="AW7" s="108" t="s">
        <v>764</v>
      </c>
      <c r="AX7" s="108" t="s">
        <v>764</v>
      </c>
      <c r="AY7" s="108" t="s">
        <v>764</v>
      </c>
      <c r="AZ7" s="108"/>
      <c r="BA7" s="108"/>
      <c r="BB7" s="108"/>
      <c r="BC7" s="108"/>
      <c r="BD7" s="108"/>
      <c r="BE7" s="108"/>
      <c r="BF7" s="108"/>
      <c r="BG7" s="108"/>
      <c r="BH7" s="108"/>
      <c r="BI7" s="108"/>
      <c r="BJ7" s="108"/>
      <c r="BK7" s="108"/>
      <c r="BL7" s="108"/>
      <c r="BM7" s="108"/>
      <c r="BN7" s="108"/>
      <c r="BO7" s="108"/>
      <c r="BP7" s="108"/>
      <c r="BQ7" s="108"/>
      <c r="BR7" s="108"/>
      <c r="BS7" s="108"/>
      <c r="BT7" s="108"/>
      <c r="BU7" s="108"/>
      <c r="BV7" s="108"/>
      <c r="BW7" s="108"/>
      <c r="BX7" s="108"/>
      <c r="BY7" s="108"/>
      <c r="BZ7" s="108"/>
      <c r="CA7" s="108"/>
      <c r="CB7" s="108"/>
      <c r="CC7" s="108"/>
      <c r="CD7" s="108"/>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08"/>
      <c r="GJ7" s="108"/>
      <c r="GK7" s="108"/>
      <c r="GL7" s="108"/>
      <c r="GM7" s="108"/>
      <c r="GN7" s="108"/>
      <c r="GO7" s="108"/>
      <c r="GP7" s="108"/>
      <c r="GQ7" s="108"/>
      <c r="GR7" s="108"/>
      <c r="GS7" s="108"/>
      <c r="GT7" s="108"/>
      <c r="GU7" s="108"/>
      <c r="GV7" s="108"/>
      <c r="GW7" s="108"/>
      <c r="GX7" s="108"/>
      <c r="GY7" s="108"/>
      <c r="GZ7" s="108"/>
      <c r="HA7" s="108"/>
      <c r="HB7" s="108"/>
      <c r="HC7" s="108"/>
      <c r="HD7" s="108"/>
      <c r="HE7" s="108"/>
      <c r="HF7" s="108"/>
      <c r="HG7" s="108"/>
      <c r="HH7" s="108"/>
      <c r="HI7" s="108"/>
      <c r="HJ7" s="108"/>
      <c r="HK7" s="108"/>
      <c r="HL7" s="108"/>
      <c r="HM7" s="108"/>
      <c r="HN7" s="108"/>
      <c r="HO7" s="108"/>
      <c r="HP7" s="108"/>
      <c r="HQ7" s="108"/>
      <c r="HR7" s="108"/>
      <c r="HS7" s="108"/>
      <c r="HT7" s="108"/>
      <c r="HU7" s="108"/>
      <c r="HV7" s="108"/>
      <c r="HW7" s="108"/>
      <c r="HX7" s="108"/>
      <c r="HY7" s="108"/>
      <c r="HZ7" s="108"/>
      <c r="IA7" s="108"/>
      <c r="IB7" s="108"/>
      <c r="IC7" s="108"/>
      <c r="ID7" s="108"/>
      <c r="IE7" s="108"/>
      <c r="IF7" s="108"/>
      <c r="IG7" s="108"/>
      <c r="IH7" s="108"/>
      <c r="II7" s="108"/>
      <c r="IJ7" s="108"/>
      <c r="IK7" s="108"/>
      <c r="IL7" s="108"/>
      <c r="IM7" s="108"/>
      <c r="IN7" s="108"/>
      <c r="IO7" s="108"/>
      <c r="IP7" s="108"/>
      <c r="IQ7" s="108"/>
      <c r="IR7" s="108"/>
      <c r="IS7" s="108"/>
      <c r="IT7" s="108"/>
      <c r="IU7" s="108"/>
      <c r="IV7" s="108"/>
      <c r="IW7" s="108"/>
      <c r="IX7" s="108"/>
      <c r="IY7" s="108"/>
      <c r="IZ7" s="108"/>
      <c r="JA7" s="108"/>
      <c r="JB7" s="108"/>
      <c r="JC7" s="108"/>
      <c r="JD7" s="108"/>
      <c r="JE7" s="108"/>
      <c r="JF7" s="108"/>
      <c r="JG7" s="108"/>
      <c r="JH7" s="108"/>
      <c r="JI7" s="108"/>
      <c r="JJ7" s="108"/>
      <c r="JK7" s="108"/>
      <c r="JL7" s="108"/>
      <c r="JM7" s="108"/>
      <c r="JN7" s="108"/>
      <c r="JO7" s="108"/>
      <c r="JP7" s="108"/>
      <c r="JQ7" s="108"/>
      <c r="JR7" s="108"/>
      <c r="JS7" s="108"/>
      <c r="JT7" s="108"/>
      <c r="JU7" s="108"/>
      <c r="JV7" s="108"/>
      <c r="JW7" s="108"/>
      <c r="JX7" s="108"/>
      <c r="JY7" s="108"/>
      <c r="JZ7" s="108"/>
      <c r="KA7" s="108"/>
      <c r="KB7" s="108"/>
      <c r="KC7" s="108"/>
      <c r="KD7" s="108"/>
      <c r="KE7" s="108"/>
      <c r="KF7" s="108"/>
      <c r="KG7" s="108"/>
      <c r="KH7" s="108"/>
      <c r="KI7" s="108"/>
      <c r="KJ7" s="108"/>
      <c r="KK7" s="108"/>
      <c r="KL7" s="108"/>
      <c r="KM7" s="108"/>
      <c r="KN7" s="108"/>
      <c r="KO7" s="108"/>
      <c r="KP7" s="108"/>
      <c r="KQ7" s="108"/>
      <c r="KR7" s="108"/>
      <c r="KS7" s="108"/>
      <c r="KT7" s="108"/>
      <c r="KU7" s="108"/>
      <c r="KV7" s="108"/>
      <c r="KW7" s="108"/>
      <c r="KX7" s="108"/>
      <c r="KY7" s="108"/>
      <c r="KZ7" s="108"/>
      <c r="LA7" s="108"/>
      <c r="LB7" s="108"/>
      <c r="LC7" s="108"/>
      <c r="LD7" s="108"/>
      <c r="LE7" s="108"/>
      <c r="LF7" s="108"/>
      <c r="LG7" s="108"/>
      <c r="LH7" s="108"/>
      <c r="LI7" s="108"/>
      <c r="LJ7" s="108"/>
      <c r="LK7" s="108"/>
      <c r="LL7" s="108"/>
      <c r="LM7" s="108"/>
      <c r="LN7" s="108"/>
      <c r="LO7" s="108"/>
      <c r="LP7" s="108"/>
      <c r="LQ7" s="108"/>
      <c r="LR7" s="108"/>
      <c r="LS7" s="108"/>
      <c r="LT7" s="108"/>
      <c r="LU7" s="108"/>
      <c r="LV7" s="108"/>
      <c r="LW7" s="108"/>
      <c r="LX7" s="108"/>
      <c r="LY7" s="108"/>
      <c r="LZ7" s="108"/>
      <c r="MA7" s="108"/>
      <c r="MB7" s="108"/>
      <c r="MC7" s="108"/>
      <c r="MD7" s="108"/>
      <c r="ME7" s="108"/>
      <c r="MF7" s="108"/>
      <c r="MG7" s="108"/>
      <c r="MH7" s="108"/>
      <c r="MI7" s="108"/>
      <c r="MJ7" s="108"/>
      <c r="MK7" s="108"/>
      <c r="ML7" s="108"/>
      <c r="MM7" s="108"/>
      <c r="MN7" s="108"/>
      <c r="MO7" s="108"/>
      <c r="MP7" s="108"/>
      <c r="MQ7" s="108"/>
      <c r="MR7" s="108"/>
      <c r="MS7" s="108"/>
      <c r="MT7" s="108"/>
      <c r="MU7" s="108"/>
      <c r="MV7" s="108"/>
      <c r="MW7" s="108"/>
      <c r="MX7" s="108"/>
      <c r="MY7" s="108"/>
      <c r="MZ7" s="108"/>
      <c r="NA7" s="108"/>
      <c r="NB7" s="108"/>
      <c r="NC7" s="108"/>
      <c r="ND7" s="108"/>
      <c r="NE7" s="108"/>
      <c r="NF7" s="108"/>
      <c r="NG7" s="108"/>
      <c r="NH7" s="108"/>
      <c r="NI7" s="108"/>
      <c r="NJ7" s="108"/>
      <c r="NK7" s="108"/>
      <c r="NL7" s="108"/>
      <c r="NM7" s="108"/>
      <c r="NN7" s="108"/>
      <c r="NO7" s="108"/>
      <c r="NP7" s="108"/>
      <c r="NQ7" s="108"/>
      <c r="NR7" s="108"/>
      <c r="NS7" s="108"/>
      <c r="NT7" s="108"/>
      <c r="NU7" s="108"/>
      <c r="NV7" s="108"/>
      <c r="NW7" s="108"/>
      <c r="NX7" s="108"/>
      <c r="NY7" s="108"/>
      <c r="NZ7" s="108"/>
      <c r="OA7" s="108"/>
      <c r="OB7" s="108"/>
      <c r="OC7" s="108"/>
      <c r="OD7" s="108"/>
      <c r="OE7" s="108"/>
      <c r="OF7" s="108"/>
      <c r="OG7" s="108"/>
      <c r="OH7" s="108"/>
    </row>
    <row r="8" spans="1:398" ht="35.15" hidden="1" customHeight="1" x14ac:dyDescent="0.35">
      <c r="A8" s="106"/>
      <c r="B8" s="102"/>
      <c r="C8" s="102"/>
      <c r="D8" s="102"/>
      <c r="E8" s="102"/>
      <c r="F8" s="102"/>
      <c r="G8" s="102"/>
      <c r="H8" s="178" t="s">
        <v>765</v>
      </c>
      <c r="I8" s="107"/>
      <c r="J8" s="108"/>
      <c r="K8" s="108"/>
      <c r="L8" s="109"/>
      <c r="M8" s="108"/>
      <c r="N8" s="108"/>
      <c r="O8" s="109"/>
      <c r="P8" s="109"/>
      <c r="Q8" s="108"/>
      <c r="R8" s="109"/>
      <c r="S8" s="108"/>
      <c r="T8" s="108" t="s">
        <v>766</v>
      </c>
      <c r="U8" s="108" t="s">
        <v>767</v>
      </c>
      <c r="V8" s="108" t="s">
        <v>768</v>
      </c>
      <c r="W8" s="108" t="s">
        <v>202</v>
      </c>
      <c r="X8" s="108" t="s">
        <v>766</v>
      </c>
      <c r="Y8" s="108" t="s">
        <v>767</v>
      </c>
      <c r="Z8" s="108" t="s">
        <v>768</v>
      </c>
      <c r="AA8" s="108" t="s">
        <v>202</v>
      </c>
      <c r="AB8" s="108" t="s">
        <v>766</v>
      </c>
      <c r="AC8" s="108" t="s">
        <v>767</v>
      </c>
      <c r="AD8" s="108" t="s">
        <v>768</v>
      </c>
      <c r="AE8" s="108" t="s">
        <v>202</v>
      </c>
      <c r="AF8" s="108" t="s">
        <v>766</v>
      </c>
      <c r="AG8" s="108" t="s">
        <v>767</v>
      </c>
      <c r="AH8" s="108" t="s">
        <v>768</v>
      </c>
      <c r="AI8" s="108" t="s">
        <v>202</v>
      </c>
      <c r="AJ8" s="108" t="s">
        <v>766</v>
      </c>
      <c r="AK8" s="108" t="s">
        <v>767</v>
      </c>
      <c r="AL8" s="108" t="s">
        <v>768</v>
      </c>
      <c r="AM8" s="108" t="s">
        <v>202</v>
      </c>
      <c r="AN8" s="108" t="s">
        <v>766</v>
      </c>
      <c r="AO8" s="108" t="s">
        <v>767</v>
      </c>
      <c r="AP8" s="108" t="s">
        <v>768</v>
      </c>
      <c r="AQ8" s="108" t="s">
        <v>202</v>
      </c>
      <c r="AR8" s="108" t="s">
        <v>766</v>
      </c>
      <c r="AS8" s="108" t="s">
        <v>767</v>
      </c>
      <c r="AT8" s="108" t="s">
        <v>768</v>
      </c>
      <c r="AU8" s="108" t="s">
        <v>202</v>
      </c>
      <c r="AV8" s="108" t="s">
        <v>766</v>
      </c>
      <c r="AW8" s="108" t="s">
        <v>767</v>
      </c>
      <c r="AX8" s="108" t="s">
        <v>768</v>
      </c>
      <c r="AY8" s="108" t="s">
        <v>202</v>
      </c>
      <c r="AZ8" s="108" t="s">
        <v>766</v>
      </c>
      <c r="BA8" s="108" t="s">
        <v>766</v>
      </c>
      <c r="BB8" s="108" t="s">
        <v>766</v>
      </c>
      <c r="BC8" s="108" t="s">
        <v>766</v>
      </c>
      <c r="BD8" s="108" t="s">
        <v>766</v>
      </c>
      <c r="BE8" s="108" t="s">
        <v>766</v>
      </c>
      <c r="BF8" s="108" t="s">
        <v>766</v>
      </c>
      <c r="BG8" s="108" t="s">
        <v>766</v>
      </c>
      <c r="BH8" s="108" t="s">
        <v>766</v>
      </c>
      <c r="BI8" s="108" t="s">
        <v>766</v>
      </c>
      <c r="BJ8" s="108" t="s">
        <v>766</v>
      </c>
      <c r="BK8" s="108" t="s">
        <v>766</v>
      </c>
      <c r="BL8" s="108" t="s">
        <v>766</v>
      </c>
      <c r="BM8" s="108" t="s">
        <v>766</v>
      </c>
      <c r="BN8" s="108" t="s">
        <v>766</v>
      </c>
      <c r="BO8" s="108" t="s">
        <v>766</v>
      </c>
      <c r="BP8" s="108" t="s">
        <v>766</v>
      </c>
      <c r="BQ8" s="108" t="s">
        <v>766</v>
      </c>
      <c r="BR8" s="108" t="s">
        <v>766</v>
      </c>
      <c r="BS8" s="108" t="s">
        <v>766</v>
      </c>
      <c r="BT8" s="108" t="s">
        <v>766</v>
      </c>
      <c r="BU8" s="108" t="s">
        <v>766</v>
      </c>
      <c r="BV8" s="108" t="s">
        <v>766</v>
      </c>
      <c r="BW8" s="108" t="s">
        <v>766</v>
      </c>
      <c r="BX8" s="108" t="s">
        <v>766</v>
      </c>
      <c r="BY8" s="108" t="s">
        <v>766</v>
      </c>
      <c r="BZ8" s="108" t="s">
        <v>766</v>
      </c>
      <c r="CA8" s="108" t="s">
        <v>766</v>
      </c>
      <c r="CB8" s="108" t="s">
        <v>766</v>
      </c>
      <c r="CC8" s="108" t="s">
        <v>766</v>
      </c>
      <c r="CD8" s="108" t="s">
        <v>766</v>
      </c>
      <c r="CE8" s="108" t="s">
        <v>766</v>
      </c>
      <c r="CF8" s="108" t="s">
        <v>766</v>
      </c>
      <c r="CG8" s="108" t="s">
        <v>766</v>
      </c>
      <c r="CH8" s="108" t="s">
        <v>766</v>
      </c>
      <c r="CI8" s="108" t="s">
        <v>766</v>
      </c>
      <c r="CJ8" s="108" t="s">
        <v>766</v>
      </c>
      <c r="CK8" s="108" t="s">
        <v>766</v>
      </c>
      <c r="CL8" s="108" t="s">
        <v>766</v>
      </c>
      <c r="CM8" s="108" t="s">
        <v>766</v>
      </c>
      <c r="CN8" s="108" t="s">
        <v>766</v>
      </c>
      <c r="CO8" s="108" t="s">
        <v>766</v>
      </c>
      <c r="CP8" s="108" t="s">
        <v>766</v>
      </c>
      <c r="CQ8" s="108" t="s">
        <v>766</v>
      </c>
      <c r="CR8" s="108" t="s">
        <v>766</v>
      </c>
      <c r="CS8" s="108" t="s">
        <v>766</v>
      </c>
      <c r="CT8" s="108" t="s">
        <v>766</v>
      </c>
      <c r="CU8" s="108" t="s">
        <v>766</v>
      </c>
      <c r="CV8" s="108" t="s">
        <v>766</v>
      </c>
      <c r="CW8" s="108" t="s">
        <v>766</v>
      </c>
      <c r="CX8" s="108" t="s">
        <v>766</v>
      </c>
      <c r="CY8" s="108" t="s">
        <v>766</v>
      </c>
      <c r="CZ8" s="108" t="s">
        <v>766</v>
      </c>
      <c r="DA8" s="108" t="s">
        <v>766</v>
      </c>
      <c r="DB8" s="108" t="s">
        <v>766</v>
      </c>
      <c r="DC8" s="108" t="s">
        <v>766</v>
      </c>
      <c r="DD8" s="108" t="s">
        <v>766</v>
      </c>
      <c r="DE8" s="108" t="s">
        <v>766</v>
      </c>
      <c r="DF8" s="108" t="s">
        <v>766</v>
      </c>
      <c r="DG8" s="108" t="s">
        <v>766</v>
      </c>
      <c r="DH8" s="108" t="s">
        <v>766</v>
      </c>
      <c r="DI8" s="108" t="s">
        <v>766</v>
      </c>
      <c r="DJ8" s="108" t="s">
        <v>766</v>
      </c>
      <c r="DK8" s="108" t="s">
        <v>766</v>
      </c>
      <c r="DL8" s="108" t="s">
        <v>766</v>
      </c>
      <c r="DM8" s="108" t="s">
        <v>766</v>
      </c>
      <c r="DN8" s="108" t="s">
        <v>766</v>
      </c>
      <c r="DO8" s="108" t="s">
        <v>766</v>
      </c>
      <c r="DP8" s="108" t="s">
        <v>766</v>
      </c>
      <c r="DQ8" s="108" t="s">
        <v>766</v>
      </c>
      <c r="DR8" s="108" t="s">
        <v>766</v>
      </c>
      <c r="DS8" s="108" t="s">
        <v>766</v>
      </c>
      <c r="DT8" s="108" t="s">
        <v>766</v>
      </c>
      <c r="DU8" s="108" t="s">
        <v>766</v>
      </c>
      <c r="DV8" s="108" t="s">
        <v>766</v>
      </c>
      <c r="DW8" s="108" t="s">
        <v>766</v>
      </c>
      <c r="DX8" s="108" t="s">
        <v>766</v>
      </c>
      <c r="DY8" s="108" t="s">
        <v>766</v>
      </c>
      <c r="DZ8" s="108" t="s">
        <v>766</v>
      </c>
      <c r="EA8" s="108" t="s">
        <v>766</v>
      </c>
      <c r="EB8" s="108" t="s">
        <v>766</v>
      </c>
      <c r="EC8" s="108" t="s">
        <v>766</v>
      </c>
      <c r="ED8" s="108" t="s">
        <v>766</v>
      </c>
      <c r="EE8" s="108" t="s">
        <v>766</v>
      </c>
      <c r="EF8" s="108" t="s">
        <v>766</v>
      </c>
      <c r="EG8" s="108" t="s">
        <v>766</v>
      </c>
      <c r="EH8" s="108" t="s">
        <v>766</v>
      </c>
      <c r="EI8" s="108" t="s">
        <v>766</v>
      </c>
      <c r="EJ8" s="108" t="s">
        <v>766</v>
      </c>
      <c r="EK8" s="108" t="s">
        <v>766</v>
      </c>
      <c r="EL8" s="108" t="s">
        <v>766</v>
      </c>
      <c r="EM8" s="108" t="s">
        <v>766</v>
      </c>
      <c r="EN8" s="108" t="s">
        <v>766</v>
      </c>
      <c r="EO8" s="108" t="s">
        <v>766</v>
      </c>
      <c r="EP8" s="108" t="s">
        <v>766</v>
      </c>
      <c r="EQ8" s="108" t="s">
        <v>766</v>
      </c>
      <c r="ER8" s="108" t="s">
        <v>766</v>
      </c>
      <c r="ES8" s="108" t="s">
        <v>766</v>
      </c>
      <c r="ET8" s="108" t="s">
        <v>766</v>
      </c>
      <c r="EU8" s="108" t="s">
        <v>766</v>
      </c>
      <c r="EV8" s="108" t="s">
        <v>766</v>
      </c>
      <c r="EW8" s="108" t="s">
        <v>766</v>
      </c>
      <c r="EX8" s="108" t="s">
        <v>766</v>
      </c>
      <c r="EY8" s="108" t="s">
        <v>766</v>
      </c>
      <c r="EZ8" s="108" t="s">
        <v>766</v>
      </c>
      <c r="FA8" s="108" t="s">
        <v>766</v>
      </c>
      <c r="FB8" s="108" t="s">
        <v>766</v>
      </c>
      <c r="FC8" s="108" t="s">
        <v>766</v>
      </c>
      <c r="FD8" s="108" t="s">
        <v>766</v>
      </c>
      <c r="FE8" s="108" t="s">
        <v>766</v>
      </c>
      <c r="FF8" s="108" t="s">
        <v>766</v>
      </c>
      <c r="FG8" s="108" t="s">
        <v>766</v>
      </c>
      <c r="FH8" s="108" t="s">
        <v>766</v>
      </c>
      <c r="FI8" s="108" t="s">
        <v>766</v>
      </c>
      <c r="FJ8" s="108" t="s">
        <v>766</v>
      </c>
      <c r="FK8" s="108" t="s">
        <v>766</v>
      </c>
      <c r="FL8" s="108" t="s">
        <v>766</v>
      </c>
      <c r="FM8" s="108" t="s">
        <v>766</v>
      </c>
      <c r="FN8" s="108" t="s">
        <v>766</v>
      </c>
      <c r="FO8" s="108" t="s">
        <v>766</v>
      </c>
      <c r="FP8" s="108" t="s">
        <v>766</v>
      </c>
      <c r="FQ8" s="108" t="s">
        <v>766</v>
      </c>
      <c r="FR8" s="108" t="s">
        <v>766</v>
      </c>
      <c r="FS8" s="108" t="s">
        <v>766</v>
      </c>
      <c r="FT8" s="108" t="s">
        <v>766</v>
      </c>
      <c r="FU8" s="108" t="s">
        <v>766</v>
      </c>
      <c r="FV8" s="108" t="s">
        <v>766</v>
      </c>
      <c r="FW8" s="108" t="s">
        <v>766</v>
      </c>
      <c r="FX8" s="108" t="s">
        <v>766</v>
      </c>
      <c r="FY8" s="108" t="s">
        <v>766</v>
      </c>
      <c r="FZ8" s="108" t="s">
        <v>766</v>
      </c>
      <c r="GA8" s="108" t="s">
        <v>766</v>
      </c>
      <c r="GB8" s="108" t="s">
        <v>766</v>
      </c>
      <c r="GC8" s="108" t="s">
        <v>766</v>
      </c>
      <c r="GD8" s="108" t="s">
        <v>766</v>
      </c>
      <c r="GE8" s="108" t="s">
        <v>766</v>
      </c>
      <c r="GF8" s="108" t="s">
        <v>766</v>
      </c>
      <c r="GG8" s="108" t="s">
        <v>766</v>
      </c>
      <c r="GH8" s="108" t="s">
        <v>766</v>
      </c>
      <c r="GI8" s="108" t="s">
        <v>766</v>
      </c>
      <c r="GJ8" s="108" t="s">
        <v>766</v>
      </c>
      <c r="GK8" s="108" t="s">
        <v>766</v>
      </c>
      <c r="GL8" s="108" t="s">
        <v>766</v>
      </c>
      <c r="GM8" s="108" t="s">
        <v>766</v>
      </c>
      <c r="GN8" s="108" t="s">
        <v>766</v>
      </c>
      <c r="GO8" s="108" t="s">
        <v>766</v>
      </c>
      <c r="GP8" s="108" t="s">
        <v>766</v>
      </c>
      <c r="GQ8" s="108" t="s">
        <v>766</v>
      </c>
      <c r="GR8" s="108" t="s">
        <v>766</v>
      </c>
      <c r="GS8" s="108" t="s">
        <v>766</v>
      </c>
      <c r="GT8" s="108" t="s">
        <v>766</v>
      </c>
      <c r="GU8" s="108" t="s">
        <v>766</v>
      </c>
      <c r="GV8" s="108" t="s">
        <v>766</v>
      </c>
      <c r="GW8" s="108" t="s">
        <v>766</v>
      </c>
      <c r="GX8" s="108" t="s">
        <v>766</v>
      </c>
      <c r="GY8" s="108" t="s">
        <v>766</v>
      </c>
      <c r="GZ8" s="108" t="s">
        <v>766</v>
      </c>
      <c r="HA8" s="108" t="s">
        <v>766</v>
      </c>
      <c r="HB8" s="108" t="s">
        <v>766</v>
      </c>
      <c r="HC8" s="108" t="s">
        <v>766</v>
      </c>
      <c r="HD8" s="108" t="s">
        <v>766</v>
      </c>
      <c r="HE8" s="108" t="s">
        <v>766</v>
      </c>
      <c r="HF8" s="108" t="s">
        <v>766</v>
      </c>
      <c r="HG8" s="108" t="s">
        <v>766</v>
      </c>
      <c r="HH8" s="108" t="s">
        <v>766</v>
      </c>
      <c r="HI8" s="108" t="s">
        <v>766</v>
      </c>
      <c r="HJ8" s="108" t="s">
        <v>766</v>
      </c>
      <c r="HK8" s="108" t="s">
        <v>766</v>
      </c>
      <c r="HL8" s="108" t="s">
        <v>766</v>
      </c>
      <c r="HM8" s="108" t="s">
        <v>766</v>
      </c>
      <c r="HN8" s="108" t="s">
        <v>766</v>
      </c>
      <c r="HO8" s="108" t="s">
        <v>766</v>
      </c>
      <c r="HP8" s="108" t="s">
        <v>766</v>
      </c>
      <c r="HQ8" s="108" t="s">
        <v>766</v>
      </c>
      <c r="HR8" s="108" t="s">
        <v>766</v>
      </c>
      <c r="HS8" s="108" t="s">
        <v>766</v>
      </c>
      <c r="HT8" s="108" t="s">
        <v>766</v>
      </c>
      <c r="HU8" s="108" t="s">
        <v>766</v>
      </c>
      <c r="HV8" s="108" t="s">
        <v>766</v>
      </c>
      <c r="HW8" s="108" t="s">
        <v>766</v>
      </c>
      <c r="HX8" s="108" t="s">
        <v>766</v>
      </c>
      <c r="HY8" s="108" t="s">
        <v>766</v>
      </c>
      <c r="HZ8" s="108" t="s">
        <v>766</v>
      </c>
      <c r="IA8" s="108" t="s">
        <v>766</v>
      </c>
      <c r="IB8" s="108" t="s">
        <v>766</v>
      </c>
      <c r="IC8" s="108" t="s">
        <v>766</v>
      </c>
      <c r="ID8" s="108" t="s">
        <v>766</v>
      </c>
      <c r="IE8" s="108" t="s">
        <v>766</v>
      </c>
      <c r="IF8" s="108" t="s">
        <v>766</v>
      </c>
      <c r="IG8" s="108" t="s">
        <v>766</v>
      </c>
      <c r="IH8" s="108" t="s">
        <v>766</v>
      </c>
      <c r="II8" s="108" t="s">
        <v>766</v>
      </c>
      <c r="IJ8" s="108" t="s">
        <v>766</v>
      </c>
      <c r="IK8" s="108" t="s">
        <v>766</v>
      </c>
      <c r="IL8" s="108" t="s">
        <v>766</v>
      </c>
      <c r="IM8" s="108" t="s">
        <v>766</v>
      </c>
      <c r="IN8" s="108" t="s">
        <v>766</v>
      </c>
      <c r="IO8" s="108" t="s">
        <v>766</v>
      </c>
      <c r="IP8" s="108" t="s">
        <v>766</v>
      </c>
      <c r="IQ8" s="108" t="s">
        <v>766</v>
      </c>
      <c r="IR8" s="108" t="s">
        <v>766</v>
      </c>
      <c r="IS8" s="108" t="s">
        <v>766</v>
      </c>
      <c r="IT8" s="108" t="s">
        <v>766</v>
      </c>
      <c r="IU8" s="108" t="s">
        <v>766</v>
      </c>
      <c r="IV8" s="108" t="s">
        <v>766</v>
      </c>
      <c r="IW8" s="108" t="s">
        <v>766</v>
      </c>
      <c r="IX8" s="108" t="s">
        <v>766</v>
      </c>
      <c r="IY8" s="108" t="s">
        <v>766</v>
      </c>
      <c r="IZ8" s="108" t="s">
        <v>766</v>
      </c>
      <c r="JA8" s="108" t="s">
        <v>766</v>
      </c>
      <c r="JB8" s="108" t="s">
        <v>766</v>
      </c>
      <c r="JC8" s="108" t="s">
        <v>766</v>
      </c>
      <c r="JD8" s="108" t="s">
        <v>766</v>
      </c>
      <c r="JE8" s="108" t="s">
        <v>766</v>
      </c>
      <c r="JF8" s="108" t="s">
        <v>766</v>
      </c>
      <c r="JG8" s="108" t="s">
        <v>766</v>
      </c>
      <c r="JH8" s="108" t="s">
        <v>766</v>
      </c>
      <c r="JI8" s="108" t="s">
        <v>766</v>
      </c>
      <c r="JJ8" s="108" t="s">
        <v>766</v>
      </c>
      <c r="JK8" s="108" t="s">
        <v>766</v>
      </c>
      <c r="JL8" s="108" t="s">
        <v>766</v>
      </c>
      <c r="JM8" s="108" t="s">
        <v>766</v>
      </c>
      <c r="JN8" s="108" t="s">
        <v>766</v>
      </c>
      <c r="JO8" s="108" t="s">
        <v>766</v>
      </c>
      <c r="JP8" s="108" t="s">
        <v>766</v>
      </c>
      <c r="JQ8" s="108" t="s">
        <v>766</v>
      </c>
      <c r="JR8" s="108" t="s">
        <v>766</v>
      </c>
      <c r="JS8" s="108" t="s">
        <v>766</v>
      </c>
      <c r="JT8" s="108" t="s">
        <v>766</v>
      </c>
      <c r="JU8" s="108" t="s">
        <v>766</v>
      </c>
      <c r="JV8" s="108" t="s">
        <v>766</v>
      </c>
      <c r="JW8" s="108" t="s">
        <v>766</v>
      </c>
      <c r="JX8" s="108" t="s">
        <v>766</v>
      </c>
      <c r="JY8" s="108" t="s">
        <v>766</v>
      </c>
      <c r="JZ8" s="108" t="s">
        <v>766</v>
      </c>
      <c r="KA8" s="108" t="s">
        <v>766</v>
      </c>
      <c r="KB8" s="108" t="s">
        <v>766</v>
      </c>
      <c r="KC8" s="108" t="s">
        <v>766</v>
      </c>
      <c r="KD8" s="108" t="s">
        <v>766</v>
      </c>
      <c r="KE8" s="108" t="s">
        <v>766</v>
      </c>
      <c r="KF8" s="108" t="s">
        <v>766</v>
      </c>
      <c r="KG8" s="108" t="s">
        <v>766</v>
      </c>
      <c r="KH8" s="108" t="s">
        <v>766</v>
      </c>
      <c r="KI8" s="108" t="s">
        <v>766</v>
      </c>
      <c r="KJ8" s="108" t="s">
        <v>766</v>
      </c>
      <c r="KK8" s="108" t="s">
        <v>766</v>
      </c>
      <c r="KL8" s="108" t="s">
        <v>766</v>
      </c>
      <c r="KM8" s="108" t="s">
        <v>766</v>
      </c>
      <c r="KN8" s="108" t="s">
        <v>766</v>
      </c>
      <c r="KO8" s="108" t="s">
        <v>766</v>
      </c>
      <c r="KP8" s="108" t="s">
        <v>766</v>
      </c>
      <c r="KQ8" s="108" t="s">
        <v>766</v>
      </c>
      <c r="KR8" s="108" t="s">
        <v>766</v>
      </c>
      <c r="KS8" s="108" t="s">
        <v>766</v>
      </c>
      <c r="KT8" s="108" t="s">
        <v>766</v>
      </c>
      <c r="KU8" s="108" t="s">
        <v>766</v>
      </c>
      <c r="KV8" s="108" t="s">
        <v>766</v>
      </c>
      <c r="KW8" s="108" t="s">
        <v>766</v>
      </c>
      <c r="KX8" s="108" t="s">
        <v>766</v>
      </c>
      <c r="KY8" s="108" t="s">
        <v>766</v>
      </c>
      <c r="KZ8" s="108" t="s">
        <v>766</v>
      </c>
      <c r="LA8" s="108" t="s">
        <v>766</v>
      </c>
      <c r="LB8" s="108" t="s">
        <v>766</v>
      </c>
      <c r="LC8" s="108" t="s">
        <v>766</v>
      </c>
      <c r="LD8" s="108" t="s">
        <v>766</v>
      </c>
      <c r="LE8" s="108" t="s">
        <v>766</v>
      </c>
      <c r="LF8" s="108" t="s">
        <v>766</v>
      </c>
      <c r="LG8" s="108" t="s">
        <v>766</v>
      </c>
      <c r="LH8" s="108" t="s">
        <v>766</v>
      </c>
      <c r="LI8" s="108" t="s">
        <v>766</v>
      </c>
      <c r="LJ8" s="108" t="s">
        <v>766</v>
      </c>
      <c r="LK8" s="108" t="s">
        <v>766</v>
      </c>
      <c r="LL8" s="108" t="s">
        <v>767</v>
      </c>
      <c r="LM8" s="108" t="s">
        <v>767</v>
      </c>
      <c r="LN8" s="108" t="s">
        <v>767</v>
      </c>
      <c r="LO8" s="108" t="s">
        <v>767</v>
      </c>
      <c r="LP8" s="108" t="s">
        <v>767</v>
      </c>
      <c r="LQ8" s="108" t="s">
        <v>767</v>
      </c>
      <c r="LR8" s="108" t="s">
        <v>767</v>
      </c>
      <c r="LS8" s="108" t="s">
        <v>767</v>
      </c>
      <c r="LT8" s="108" t="s">
        <v>767</v>
      </c>
      <c r="LU8" s="108" t="s">
        <v>767</v>
      </c>
      <c r="LV8" s="108" t="s">
        <v>767</v>
      </c>
      <c r="LW8" s="108" t="s">
        <v>767</v>
      </c>
      <c r="LX8" s="108" t="s">
        <v>767</v>
      </c>
      <c r="LY8" s="108" t="s">
        <v>767</v>
      </c>
      <c r="LZ8" s="108" t="s">
        <v>767</v>
      </c>
      <c r="MA8" s="108" t="s">
        <v>767</v>
      </c>
      <c r="MB8" s="108" t="s">
        <v>767</v>
      </c>
      <c r="MC8" s="108" t="s">
        <v>767</v>
      </c>
      <c r="MD8" s="108" t="s">
        <v>767</v>
      </c>
      <c r="ME8" s="108" t="s">
        <v>767</v>
      </c>
      <c r="MF8" s="108" t="s">
        <v>767</v>
      </c>
      <c r="MG8" s="108" t="s">
        <v>767</v>
      </c>
      <c r="MH8" s="108" t="s">
        <v>767</v>
      </c>
      <c r="MI8" s="108" t="s">
        <v>767</v>
      </c>
      <c r="MJ8" s="108" t="s">
        <v>767</v>
      </c>
      <c r="MK8" s="108" t="s">
        <v>767</v>
      </c>
      <c r="ML8" s="108" t="s">
        <v>767</v>
      </c>
      <c r="MM8" s="108" t="s">
        <v>767</v>
      </c>
      <c r="MN8" s="108" t="s">
        <v>767</v>
      </c>
      <c r="MO8" s="108" t="s">
        <v>767</v>
      </c>
      <c r="MP8" s="108" t="s">
        <v>767</v>
      </c>
      <c r="MQ8" s="108" t="s">
        <v>768</v>
      </c>
      <c r="MR8" s="108" t="s">
        <v>768</v>
      </c>
      <c r="MS8" s="108" t="s">
        <v>768</v>
      </c>
      <c r="MT8" s="108" t="s">
        <v>768</v>
      </c>
      <c r="MU8" s="108" t="s">
        <v>768</v>
      </c>
      <c r="MV8" s="108" t="s">
        <v>768</v>
      </c>
      <c r="MW8" s="108" t="s">
        <v>768</v>
      </c>
      <c r="MX8" s="108" t="s">
        <v>768</v>
      </c>
      <c r="MY8" s="108" t="s">
        <v>768</v>
      </c>
      <c r="MZ8" s="108" t="s">
        <v>768</v>
      </c>
      <c r="NA8" s="108" t="s">
        <v>768</v>
      </c>
      <c r="NB8" s="108" t="s">
        <v>768</v>
      </c>
      <c r="NC8" s="108" t="s">
        <v>768</v>
      </c>
      <c r="ND8" s="108" t="s">
        <v>768</v>
      </c>
      <c r="NE8" s="108" t="s">
        <v>768</v>
      </c>
      <c r="NF8" s="108" t="s">
        <v>768</v>
      </c>
      <c r="NG8" s="108" t="s">
        <v>768</v>
      </c>
      <c r="NH8" s="108" t="s">
        <v>768</v>
      </c>
      <c r="NI8" s="108" t="s">
        <v>768</v>
      </c>
      <c r="NJ8" s="108" t="s">
        <v>768</v>
      </c>
      <c r="NK8" s="108" t="s">
        <v>768</v>
      </c>
      <c r="NL8" s="108" t="s">
        <v>768</v>
      </c>
      <c r="NM8" s="108" t="s">
        <v>768</v>
      </c>
      <c r="NN8" s="108" t="s">
        <v>768</v>
      </c>
      <c r="NO8" s="108" t="s">
        <v>768</v>
      </c>
      <c r="NP8" s="108" t="s">
        <v>768</v>
      </c>
      <c r="NQ8" s="108" t="s">
        <v>768</v>
      </c>
      <c r="NR8" s="108" t="s">
        <v>768</v>
      </c>
      <c r="NS8" s="108" t="s">
        <v>768</v>
      </c>
      <c r="NT8" s="108" t="s">
        <v>768</v>
      </c>
      <c r="NU8" s="108" t="s">
        <v>768</v>
      </c>
      <c r="NV8" s="108" t="s">
        <v>768</v>
      </c>
      <c r="NW8" s="108" t="s">
        <v>769</v>
      </c>
      <c r="NX8" s="108" t="s">
        <v>769</v>
      </c>
      <c r="NY8" s="108" t="s">
        <v>769</v>
      </c>
      <c r="NZ8" s="108" t="s">
        <v>769</v>
      </c>
      <c r="OA8" s="108" t="s">
        <v>769</v>
      </c>
      <c r="OB8" s="108" t="s">
        <v>769</v>
      </c>
      <c r="OC8" s="108" t="s">
        <v>769</v>
      </c>
      <c r="OD8" s="108" t="s">
        <v>769</v>
      </c>
      <c r="OE8" s="108" t="s">
        <v>769</v>
      </c>
      <c r="OF8" s="108" t="s">
        <v>769</v>
      </c>
      <c r="OG8" s="108" t="s">
        <v>769</v>
      </c>
      <c r="OH8" s="108" t="s">
        <v>769</v>
      </c>
    </row>
    <row r="9" spans="1:398" ht="25" hidden="1" x14ac:dyDescent="0.35">
      <c r="A9" s="106"/>
      <c r="B9" s="102"/>
      <c r="C9" s="102"/>
      <c r="D9" s="102"/>
      <c r="E9" s="102"/>
      <c r="F9" s="102"/>
      <c r="G9" s="102"/>
      <c r="H9" s="178" t="s">
        <v>770</v>
      </c>
      <c r="I9" s="107"/>
      <c r="J9" s="108"/>
      <c r="K9" s="108"/>
      <c r="L9" s="109"/>
      <c r="M9" s="108"/>
      <c r="N9" s="108"/>
      <c r="O9" s="109"/>
      <c r="P9" s="109"/>
      <c r="Q9" s="108"/>
      <c r="R9" s="109"/>
      <c r="S9" s="108"/>
      <c r="T9" s="108" t="s">
        <v>775</v>
      </c>
      <c r="U9" s="108" t="s">
        <v>775</v>
      </c>
      <c r="V9" s="108" t="s">
        <v>775</v>
      </c>
      <c r="W9" s="108" t="s">
        <v>775</v>
      </c>
      <c r="X9" s="108" t="s">
        <v>776</v>
      </c>
      <c r="Y9" s="108" t="s">
        <v>776</v>
      </c>
      <c r="Z9" s="108" t="s">
        <v>776</v>
      </c>
      <c r="AA9" s="108" t="s">
        <v>776</v>
      </c>
      <c r="AB9" s="108" t="s">
        <v>748</v>
      </c>
      <c r="AC9" s="108" t="s">
        <v>748</v>
      </c>
      <c r="AD9" s="108" t="s">
        <v>748</v>
      </c>
      <c r="AE9" s="108" t="s">
        <v>748</v>
      </c>
      <c r="AF9" s="108" t="s">
        <v>771</v>
      </c>
      <c r="AG9" s="108" t="s">
        <v>771</v>
      </c>
      <c r="AH9" s="108" t="s">
        <v>771</v>
      </c>
      <c r="AI9" s="108" t="s">
        <v>771</v>
      </c>
      <c r="AJ9" s="108" t="s">
        <v>772</v>
      </c>
      <c r="AK9" s="108" t="s">
        <v>772</v>
      </c>
      <c r="AL9" s="108" t="s">
        <v>772</v>
      </c>
      <c r="AM9" s="108" t="s">
        <v>772</v>
      </c>
      <c r="AN9" s="108" t="s">
        <v>942</v>
      </c>
      <c r="AO9" s="108" t="s">
        <v>942</v>
      </c>
      <c r="AP9" s="108" t="s">
        <v>942</v>
      </c>
      <c r="AQ9" s="108" t="s">
        <v>942</v>
      </c>
      <c r="AR9" s="108" t="s">
        <v>773</v>
      </c>
      <c r="AS9" s="108" t="s">
        <v>773</v>
      </c>
      <c r="AT9" s="108" t="s">
        <v>773</v>
      </c>
      <c r="AU9" s="108" t="s">
        <v>773</v>
      </c>
      <c r="AV9" s="108" t="s">
        <v>774</v>
      </c>
      <c r="AW9" s="108" t="s">
        <v>774</v>
      </c>
      <c r="AX9" s="108" t="s">
        <v>774</v>
      </c>
      <c r="AY9" s="108" t="s">
        <v>774</v>
      </c>
      <c r="AZ9" s="108" t="s">
        <v>775</v>
      </c>
      <c r="BA9" s="108" t="s">
        <v>775</v>
      </c>
      <c r="BB9" s="108" t="s">
        <v>775</v>
      </c>
      <c r="BC9" s="108" t="s">
        <v>775</v>
      </c>
      <c r="BD9" s="108" t="s">
        <v>775</v>
      </c>
      <c r="BE9" s="108" t="s">
        <v>775</v>
      </c>
      <c r="BF9" s="108" t="s">
        <v>775</v>
      </c>
      <c r="BG9" s="108" t="s">
        <v>775</v>
      </c>
      <c r="BH9" s="108" t="s">
        <v>775</v>
      </c>
      <c r="BI9" s="108" t="s">
        <v>775</v>
      </c>
      <c r="BJ9" s="108" t="s">
        <v>775</v>
      </c>
      <c r="BK9" s="108" t="s">
        <v>775</v>
      </c>
      <c r="BL9" s="108" t="s">
        <v>775</v>
      </c>
      <c r="BM9" s="108" t="s">
        <v>775</v>
      </c>
      <c r="BN9" s="108" t="s">
        <v>775</v>
      </c>
      <c r="BO9" s="108" t="s">
        <v>775</v>
      </c>
      <c r="BP9" s="108" t="s">
        <v>775</v>
      </c>
      <c r="BQ9" s="108" t="s">
        <v>775</v>
      </c>
      <c r="BR9" s="108" t="s">
        <v>775</v>
      </c>
      <c r="BS9" s="108" t="s">
        <v>775</v>
      </c>
      <c r="BT9" s="108" t="s">
        <v>775</v>
      </c>
      <c r="BU9" s="108" t="s">
        <v>775</v>
      </c>
      <c r="BV9" s="108" t="s">
        <v>775</v>
      </c>
      <c r="BW9" s="108" t="s">
        <v>775</v>
      </c>
      <c r="BX9" s="108" t="s">
        <v>775</v>
      </c>
      <c r="BY9" s="108" t="s">
        <v>775</v>
      </c>
      <c r="BZ9" s="108" t="s">
        <v>775</v>
      </c>
      <c r="CA9" s="108" t="s">
        <v>775</v>
      </c>
      <c r="CB9" s="108" t="s">
        <v>775</v>
      </c>
      <c r="CC9" s="108" t="s">
        <v>775</v>
      </c>
      <c r="CD9" s="108" t="s">
        <v>775</v>
      </c>
      <c r="CE9" s="108" t="s">
        <v>775</v>
      </c>
      <c r="CF9" s="108" t="s">
        <v>775</v>
      </c>
      <c r="CG9" s="108" t="s">
        <v>775</v>
      </c>
      <c r="CH9" s="108" t="s">
        <v>775</v>
      </c>
      <c r="CI9" s="108" t="s">
        <v>775</v>
      </c>
      <c r="CJ9" s="108" t="s">
        <v>775</v>
      </c>
      <c r="CK9" s="108" t="s">
        <v>775</v>
      </c>
      <c r="CL9" s="108" t="s">
        <v>775</v>
      </c>
      <c r="CM9" s="108" t="s">
        <v>775</v>
      </c>
      <c r="CN9" s="108" t="s">
        <v>775</v>
      </c>
      <c r="CO9" s="108" t="s">
        <v>775</v>
      </c>
      <c r="CP9" s="108" t="s">
        <v>775</v>
      </c>
      <c r="CQ9" s="108" t="s">
        <v>775</v>
      </c>
      <c r="CR9" s="108" t="s">
        <v>775</v>
      </c>
      <c r="CS9" s="108" t="s">
        <v>775</v>
      </c>
      <c r="CT9" s="108" t="s">
        <v>775</v>
      </c>
      <c r="CU9" s="108" t="s">
        <v>775</v>
      </c>
      <c r="CV9" s="108" t="s">
        <v>775</v>
      </c>
      <c r="CW9" s="108" t="s">
        <v>775</v>
      </c>
      <c r="CX9" s="108" t="s">
        <v>775</v>
      </c>
      <c r="CY9" s="108" t="s">
        <v>775</v>
      </c>
      <c r="CZ9" s="108" t="s">
        <v>775</v>
      </c>
      <c r="DA9" s="108" t="s">
        <v>775</v>
      </c>
      <c r="DB9" s="108" t="s">
        <v>775</v>
      </c>
      <c r="DC9" s="108" t="s">
        <v>775</v>
      </c>
      <c r="DD9" s="108" t="s">
        <v>775</v>
      </c>
      <c r="DE9" s="108" t="s">
        <v>776</v>
      </c>
      <c r="DF9" s="108" t="s">
        <v>776</v>
      </c>
      <c r="DG9" s="108" t="s">
        <v>776</v>
      </c>
      <c r="DH9" s="108" t="s">
        <v>776</v>
      </c>
      <c r="DI9" s="108" t="s">
        <v>776</v>
      </c>
      <c r="DJ9" s="108" t="s">
        <v>776</v>
      </c>
      <c r="DK9" s="108" t="s">
        <v>776</v>
      </c>
      <c r="DL9" s="108" t="s">
        <v>776</v>
      </c>
      <c r="DM9" s="108" t="s">
        <v>776</v>
      </c>
      <c r="DN9" s="108" t="s">
        <v>776</v>
      </c>
      <c r="DO9" s="108" t="s">
        <v>776</v>
      </c>
      <c r="DP9" s="108" t="s">
        <v>776</v>
      </c>
      <c r="DQ9" s="108" t="s">
        <v>776</v>
      </c>
      <c r="DR9" s="108" t="s">
        <v>776</v>
      </c>
      <c r="DS9" s="108" t="s">
        <v>776</v>
      </c>
      <c r="DT9" s="108" t="s">
        <v>776</v>
      </c>
      <c r="DU9" s="108" t="s">
        <v>776</v>
      </c>
      <c r="DV9" s="108" t="s">
        <v>776</v>
      </c>
      <c r="DW9" s="108" t="s">
        <v>776</v>
      </c>
      <c r="DX9" s="108" t="s">
        <v>776</v>
      </c>
      <c r="DY9" s="108" t="s">
        <v>748</v>
      </c>
      <c r="DZ9" s="108" t="s">
        <v>748</v>
      </c>
      <c r="EA9" s="108" t="s">
        <v>748</v>
      </c>
      <c r="EB9" s="108" t="s">
        <v>748</v>
      </c>
      <c r="EC9" s="108" t="s">
        <v>748</v>
      </c>
      <c r="ED9" s="108" t="s">
        <v>748</v>
      </c>
      <c r="EE9" s="108" t="s">
        <v>748</v>
      </c>
      <c r="EF9" s="108" t="s">
        <v>748</v>
      </c>
      <c r="EG9" s="108" t="s">
        <v>748</v>
      </c>
      <c r="EH9" s="108" t="s">
        <v>748</v>
      </c>
      <c r="EI9" s="108" t="s">
        <v>748</v>
      </c>
      <c r="EJ9" s="108" t="s">
        <v>748</v>
      </c>
      <c r="EK9" s="108" t="s">
        <v>748</v>
      </c>
      <c r="EL9" s="108" t="s">
        <v>748</v>
      </c>
      <c r="EM9" s="108" t="s">
        <v>771</v>
      </c>
      <c r="EN9" s="108" t="s">
        <v>771</v>
      </c>
      <c r="EO9" s="108" t="s">
        <v>771</v>
      </c>
      <c r="EP9" s="108" t="s">
        <v>771</v>
      </c>
      <c r="EQ9" s="108" t="s">
        <v>771</v>
      </c>
      <c r="ER9" s="108" t="s">
        <v>771</v>
      </c>
      <c r="ES9" s="108" t="s">
        <v>771</v>
      </c>
      <c r="ET9" s="108" t="s">
        <v>771</v>
      </c>
      <c r="EU9" s="108" t="s">
        <v>771</v>
      </c>
      <c r="EV9" s="108" t="s">
        <v>772</v>
      </c>
      <c r="EW9" s="108" t="s">
        <v>772</v>
      </c>
      <c r="EX9" s="108" t="s">
        <v>772</v>
      </c>
      <c r="EY9" s="108" t="s">
        <v>772</v>
      </c>
      <c r="EZ9" s="108" t="s">
        <v>772</v>
      </c>
      <c r="FA9" s="108" t="s">
        <v>777</v>
      </c>
      <c r="FB9" s="108" t="s">
        <v>777</v>
      </c>
      <c r="FC9" s="108" t="s">
        <v>777</v>
      </c>
      <c r="FD9" s="108" t="s">
        <v>777</v>
      </c>
      <c r="FE9" s="108" t="s">
        <v>777</v>
      </c>
      <c r="FF9" s="108" t="s">
        <v>777</v>
      </c>
      <c r="FG9" s="108" t="s">
        <v>777</v>
      </c>
      <c r="FH9" s="108" t="s">
        <v>777</v>
      </c>
      <c r="FI9" s="108" t="s">
        <v>777</v>
      </c>
      <c r="FJ9" s="108" t="s">
        <v>777</v>
      </c>
      <c r="FK9" s="108" t="s">
        <v>777</v>
      </c>
      <c r="FL9" s="108" t="s">
        <v>777</v>
      </c>
      <c r="FM9" s="108" t="s">
        <v>777</v>
      </c>
      <c r="FN9" s="108" t="s">
        <v>777</v>
      </c>
      <c r="FO9" s="108" t="s">
        <v>777</v>
      </c>
      <c r="FP9" s="108" t="s">
        <v>777</v>
      </c>
      <c r="FQ9" s="108" t="s">
        <v>777</v>
      </c>
      <c r="FR9" s="108" t="s">
        <v>777</v>
      </c>
      <c r="FS9" s="108" t="s">
        <v>777</v>
      </c>
      <c r="FT9" s="108" t="s">
        <v>777</v>
      </c>
      <c r="FU9" s="108" t="s">
        <v>777</v>
      </c>
      <c r="FV9" s="108" t="s">
        <v>777</v>
      </c>
      <c r="FW9" s="108" t="s">
        <v>777</v>
      </c>
      <c r="FX9" s="108" t="s">
        <v>777</v>
      </c>
      <c r="FY9" s="108" t="s">
        <v>777</v>
      </c>
      <c r="FZ9" s="108" t="s">
        <v>777</v>
      </c>
      <c r="GA9" s="108" t="s">
        <v>777</v>
      </c>
      <c r="GB9" s="108" t="s">
        <v>777</v>
      </c>
      <c r="GC9" s="108" t="s">
        <v>777</v>
      </c>
      <c r="GD9" s="108" t="s">
        <v>777</v>
      </c>
      <c r="GE9" s="108" t="s">
        <v>777</v>
      </c>
      <c r="GF9" s="108" t="s">
        <v>777</v>
      </c>
      <c r="GG9" s="108" t="s">
        <v>777</v>
      </c>
      <c r="GH9" s="108" t="s">
        <v>777</v>
      </c>
      <c r="GI9" s="108" t="s">
        <v>777</v>
      </c>
      <c r="GJ9" s="108" t="s">
        <v>777</v>
      </c>
      <c r="GK9" s="108" t="s">
        <v>777</v>
      </c>
      <c r="GL9" s="108" t="s">
        <v>777</v>
      </c>
      <c r="GM9" s="108" t="s">
        <v>777</v>
      </c>
      <c r="GN9" s="108" t="s">
        <v>777</v>
      </c>
      <c r="GO9" s="108" t="s">
        <v>777</v>
      </c>
      <c r="GP9" s="108" t="s">
        <v>777</v>
      </c>
      <c r="GQ9" s="108" t="s">
        <v>777</v>
      </c>
      <c r="GR9" s="108" t="s">
        <v>777</v>
      </c>
      <c r="GS9" s="108" t="s">
        <v>777</v>
      </c>
      <c r="GT9" s="108" t="s">
        <v>777</v>
      </c>
      <c r="GU9" s="108" t="s">
        <v>777</v>
      </c>
      <c r="GV9" s="108" t="s">
        <v>777</v>
      </c>
      <c r="GW9" s="108" t="s">
        <v>777</v>
      </c>
      <c r="GX9" s="108" t="s">
        <v>777</v>
      </c>
      <c r="GY9" s="108" t="s">
        <v>777</v>
      </c>
      <c r="GZ9" s="108" t="s">
        <v>777</v>
      </c>
      <c r="HA9" s="108" t="s">
        <v>777</v>
      </c>
      <c r="HB9" s="108" t="s">
        <v>777</v>
      </c>
      <c r="HC9" s="108" t="s">
        <v>777</v>
      </c>
      <c r="HD9" s="108" t="s">
        <v>777</v>
      </c>
      <c r="HE9" s="108" t="s">
        <v>777</v>
      </c>
      <c r="HF9" s="108" t="s">
        <v>777</v>
      </c>
      <c r="HG9" s="108" t="s">
        <v>777</v>
      </c>
      <c r="HH9" s="108" t="s">
        <v>777</v>
      </c>
      <c r="HI9" s="108" t="s">
        <v>777</v>
      </c>
      <c r="HJ9" s="108" t="s">
        <v>777</v>
      </c>
      <c r="HK9" s="108" t="s">
        <v>777</v>
      </c>
      <c r="HL9" s="108" t="s">
        <v>777</v>
      </c>
      <c r="HM9" s="108" t="s">
        <v>777</v>
      </c>
      <c r="HN9" s="108" t="s">
        <v>777</v>
      </c>
      <c r="HO9" s="108" t="s">
        <v>777</v>
      </c>
      <c r="HP9" s="108" t="s">
        <v>777</v>
      </c>
      <c r="HQ9" s="108" t="s">
        <v>777</v>
      </c>
      <c r="HR9" s="108" t="s">
        <v>777</v>
      </c>
      <c r="HS9" s="108" t="s">
        <v>777</v>
      </c>
      <c r="HT9" s="108" t="s">
        <v>777</v>
      </c>
      <c r="HU9" s="108" t="s">
        <v>777</v>
      </c>
      <c r="HV9" s="108" t="s">
        <v>777</v>
      </c>
      <c r="HW9" s="108" t="s">
        <v>777</v>
      </c>
      <c r="HX9" s="108" t="s">
        <v>777</v>
      </c>
      <c r="HY9" s="108" t="s">
        <v>777</v>
      </c>
      <c r="HZ9" s="108" t="s">
        <v>777</v>
      </c>
      <c r="IA9" s="108" t="s">
        <v>777</v>
      </c>
      <c r="IB9" s="108" t="s">
        <v>777</v>
      </c>
      <c r="IC9" s="108" t="s">
        <v>777</v>
      </c>
      <c r="ID9" s="108" t="s">
        <v>777</v>
      </c>
      <c r="IE9" s="108" t="s">
        <v>777</v>
      </c>
      <c r="IF9" s="108" t="s">
        <v>777</v>
      </c>
      <c r="IG9" s="108" t="s">
        <v>777</v>
      </c>
      <c r="IH9" s="108" t="s">
        <v>777</v>
      </c>
      <c r="II9" s="108" t="s">
        <v>777</v>
      </c>
      <c r="IJ9" s="108" t="s">
        <v>777</v>
      </c>
      <c r="IK9" s="108" t="s">
        <v>777</v>
      </c>
      <c r="IL9" s="108" t="s">
        <v>777</v>
      </c>
      <c r="IM9" s="108" t="s">
        <v>777</v>
      </c>
      <c r="IN9" s="108" t="s">
        <v>777</v>
      </c>
      <c r="IO9" s="108" t="s">
        <v>777</v>
      </c>
      <c r="IP9" s="108" t="s">
        <v>777</v>
      </c>
      <c r="IQ9" s="108" t="s">
        <v>777</v>
      </c>
      <c r="IR9" s="108" t="s">
        <v>777</v>
      </c>
      <c r="IS9" s="108" t="s">
        <v>777</v>
      </c>
      <c r="IT9" s="108" t="s">
        <v>777</v>
      </c>
      <c r="IU9" s="108" t="s">
        <v>777</v>
      </c>
      <c r="IV9" s="108" t="s">
        <v>777</v>
      </c>
      <c r="IW9" s="108" t="s">
        <v>777</v>
      </c>
      <c r="IX9" s="108" t="s">
        <v>777</v>
      </c>
      <c r="IY9" s="108" t="s">
        <v>777</v>
      </c>
      <c r="IZ9" s="108" t="s">
        <v>777</v>
      </c>
      <c r="JA9" s="108" t="s">
        <v>777</v>
      </c>
      <c r="JB9" s="108" t="s">
        <v>777</v>
      </c>
      <c r="JC9" s="108" t="s">
        <v>777</v>
      </c>
      <c r="JD9" s="108" t="s">
        <v>777</v>
      </c>
      <c r="JE9" s="108" t="s">
        <v>777</v>
      </c>
      <c r="JF9" s="108" t="s">
        <v>777</v>
      </c>
      <c r="JG9" s="108" t="s">
        <v>777</v>
      </c>
      <c r="JH9" s="108" t="s">
        <v>777</v>
      </c>
      <c r="JI9" s="108" t="s">
        <v>777</v>
      </c>
      <c r="JJ9" s="108" t="s">
        <v>777</v>
      </c>
      <c r="JK9" s="108" t="s">
        <v>777</v>
      </c>
      <c r="JL9" s="108" t="s">
        <v>777</v>
      </c>
      <c r="JM9" s="108" t="s">
        <v>777</v>
      </c>
      <c r="JN9" s="108" t="s">
        <v>777</v>
      </c>
      <c r="JO9" s="108" t="s">
        <v>777</v>
      </c>
      <c r="JP9" s="108" t="s">
        <v>777</v>
      </c>
      <c r="JQ9" s="108" t="s">
        <v>777</v>
      </c>
      <c r="JR9" s="108" t="s">
        <v>777</v>
      </c>
      <c r="JS9" s="108" t="s">
        <v>777</v>
      </c>
      <c r="JT9" s="108" t="s">
        <v>777</v>
      </c>
      <c r="JU9" s="108" t="s">
        <v>777</v>
      </c>
      <c r="JV9" s="108" t="s">
        <v>777</v>
      </c>
      <c r="JW9" s="108" t="s">
        <v>777</v>
      </c>
      <c r="JX9" s="108" t="s">
        <v>777</v>
      </c>
      <c r="JY9" s="108" t="s">
        <v>777</v>
      </c>
      <c r="JZ9" s="108" t="s">
        <v>777</v>
      </c>
      <c r="KA9" s="108" t="s">
        <v>777</v>
      </c>
      <c r="KB9" s="108" t="s">
        <v>777</v>
      </c>
      <c r="KC9" s="108" t="s">
        <v>777</v>
      </c>
      <c r="KD9" s="108" t="s">
        <v>777</v>
      </c>
      <c r="KE9" s="108" t="s">
        <v>777</v>
      </c>
      <c r="KF9" s="108" t="s">
        <v>777</v>
      </c>
      <c r="KG9" s="108" t="s">
        <v>777</v>
      </c>
      <c r="KH9" s="108" t="s">
        <v>777</v>
      </c>
      <c r="KI9" s="108" t="s">
        <v>777</v>
      </c>
      <c r="KJ9" s="108" t="s">
        <v>777</v>
      </c>
      <c r="KK9" s="108" t="s">
        <v>777</v>
      </c>
      <c r="KL9" s="108" t="s">
        <v>777</v>
      </c>
      <c r="KM9" s="108" t="s">
        <v>777</v>
      </c>
      <c r="KN9" s="108" t="s">
        <v>777</v>
      </c>
      <c r="KO9" s="108" t="s">
        <v>777</v>
      </c>
      <c r="KP9" s="108" t="s">
        <v>777</v>
      </c>
      <c r="KQ9" s="108" t="s">
        <v>777</v>
      </c>
      <c r="KR9" s="108" t="s">
        <v>777</v>
      </c>
      <c r="KS9" s="108" t="s">
        <v>777</v>
      </c>
      <c r="KT9" s="108" t="s">
        <v>777</v>
      </c>
      <c r="KU9" s="108" t="s">
        <v>777</v>
      </c>
      <c r="KV9" s="108" t="s">
        <v>777</v>
      </c>
      <c r="KW9" s="108" t="s">
        <v>777</v>
      </c>
      <c r="KX9" s="108" t="s">
        <v>777</v>
      </c>
      <c r="KY9" s="108" t="s">
        <v>777</v>
      </c>
      <c r="KZ9" s="108" t="s">
        <v>777</v>
      </c>
      <c r="LA9" s="108" t="s">
        <v>777</v>
      </c>
      <c r="LB9" s="108" t="s">
        <v>777</v>
      </c>
      <c r="LC9" s="108" t="s">
        <v>773</v>
      </c>
      <c r="LD9" s="108" t="s">
        <v>773</v>
      </c>
      <c r="LE9" s="108" t="s">
        <v>773</v>
      </c>
      <c r="LF9" s="108" t="s">
        <v>773</v>
      </c>
      <c r="LG9" s="108" t="s">
        <v>773</v>
      </c>
      <c r="LH9" s="108" t="s">
        <v>773</v>
      </c>
      <c r="LI9" s="108" t="s">
        <v>773</v>
      </c>
      <c r="LJ9" s="108" t="s">
        <v>773</v>
      </c>
      <c r="LK9" s="108" t="s">
        <v>773</v>
      </c>
      <c r="LL9" s="108" t="s">
        <v>775</v>
      </c>
      <c r="LM9" s="108" t="s">
        <v>775</v>
      </c>
      <c r="LN9" s="108" t="s">
        <v>775</v>
      </c>
      <c r="LO9" s="108" t="s">
        <v>775</v>
      </c>
      <c r="LP9" s="108" t="s">
        <v>775</v>
      </c>
      <c r="LQ9" s="108" t="s">
        <v>775</v>
      </c>
      <c r="LR9" s="108" t="s">
        <v>775</v>
      </c>
      <c r="LS9" s="108" t="s">
        <v>775</v>
      </c>
      <c r="LT9" s="108" t="s">
        <v>775</v>
      </c>
      <c r="LU9" s="108" t="s">
        <v>776</v>
      </c>
      <c r="LV9" s="108" t="s">
        <v>776</v>
      </c>
      <c r="LW9" s="108" t="s">
        <v>776</v>
      </c>
      <c r="LX9" s="108" t="s">
        <v>748</v>
      </c>
      <c r="LY9" s="108" t="s">
        <v>748</v>
      </c>
      <c r="LZ9" s="108" t="s">
        <v>748</v>
      </c>
      <c r="MA9" s="108" t="s">
        <v>748</v>
      </c>
      <c r="MB9" s="108" t="s">
        <v>771</v>
      </c>
      <c r="MC9" s="108" t="s">
        <v>772</v>
      </c>
      <c r="MD9" s="108" t="s">
        <v>777</v>
      </c>
      <c r="ME9" s="108" t="s">
        <v>777</v>
      </c>
      <c r="MF9" s="108" t="s">
        <v>777</v>
      </c>
      <c r="MG9" s="108" t="s">
        <v>777</v>
      </c>
      <c r="MH9" s="108" t="s">
        <v>777</v>
      </c>
      <c r="MI9" s="108" t="s">
        <v>777</v>
      </c>
      <c r="MJ9" s="108" t="s">
        <v>777</v>
      </c>
      <c r="MK9" s="108" t="s">
        <v>777</v>
      </c>
      <c r="ML9" s="108" t="s">
        <v>777</v>
      </c>
      <c r="MM9" s="108" t="s">
        <v>777</v>
      </c>
      <c r="MN9" s="108" t="s">
        <v>773</v>
      </c>
      <c r="MO9" s="108" t="s">
        <v>773</v>
      </c>
      <c r="MP9" s="108" t="s">
        <v>773</v>
      </c>
      <c r="MQ9" s="108" t="s">
        <v>775</v>
      </c>
      <c r="MR9" s="108" t="s">
        <v>775</v>
      </c>
      <c r="MS9" s="108" t="s">
        <v>775</v>
      </c>
      <c r="MT9" s="108" t="s">
        <v>775</v>
      </c>
      <c r="MU9" s="108" t="s">
        <v>775</v>
      </c>
      <c r="MV9" s="108" t="s">
        <v>775</v>
      </c>
      <c r="MW9" s="108" t="s">
        <v>775</v>
      </c>
      <c r="MX9" s="108" t="s">
        <v>775</v>
      </c>
      <c r="MY9" s="108" t="s">
        <v>775</v>
      </c>
      <c r="MZ9" s="108" t="s">
        <v>776</v>
      </c>
      <c r="NA9" s="108" t="s">
        <v>776</v>
      </c>
      <c r="NB9" s="108" t="s">
        <v>776</v>
      </c>
      <c r="NC9" s="108" t="s">
        <v>748</v>
      </c>
      <c r="ND9" s="108" t="s">
        <v>748</v>
      </c>
      <c r="NE9" s="108" t="s">
        <v>748</v>
      </c>
      <c r="NF9" s="108" t="s">
        <v>748</v>
      </c>
      <c r="NG9" s="108" t="s">
        <v>771</v>
      </c>
      <c r="NH9" s="108" t="s">
        <v>772</v>
      </c>
      <c r="NI9" s="108" t="s">
        <v>777</v>
      </c>
      <c r="NJ9" s="108" t="s">
        <v>777</v>
      </c>
      <c r="NK9" s="108" t="s">
        <v>777</v>
      </c>
      <c r="NL9" s="108" t="s">
        <v>777</v>
      </c>
      <c r="NM9" s="108" t="s">
        <v>777</v>
      </c>
      <c r="NN9" s="108" t="s">
        <v>777</v>
      </c>
      <c r="NO9" s="108" t="s">
        <v>777</v>
      </c>
      <c r="NP9" s="108" t="s">
        <v>777</v>
      </c>
      <c r="NQ9" s="108" t="s">
        <v>777</v>
      </c>
      <c r="NR9" s="108" t="s">
        <v>777</v>
      </c>
      <c r="NS9" s="108" t="s">
        <v>773</v>
      </c>
      <c r="NT9" s="108" t="s">
        <v>773</v>
      </c>
      <c r="NU9" s="108" t="s">
        <v>773</v>
      </c>
      <c r="NV9" s="108" t="s">
        <v>775</v>
      </c>
      <c r="NW9" s="108" t="s">
        <v>775</v>
      </c>
      <c r="NX9" s="108" t="s">
        <v>775</v>
      </c>
      <c r="NY9" s="108" t="s">
        <v>775</v>
      </c>
      <c r="NZ9" s="108" t="s">
        <v>775</v>
      </c>
      <c r="OA9" s="108" t="s">
        <v>775</v>
      </c>
      <c r="OB9" s="108" t="s">
        <v>775</v>
      </c>
      <c r="OC9" s="108" t="s">
        <v>775</v>
      </c>
      <c r="OD9" s="108" t="s">
        <v>775</v>
      </c>
      <c r="OE9" s="108" t="s">
        <v>775</v>
      </c>
      <c r="OF9" s="108" t="s">
        <v>748</v>
      </c>
      <c r="OG9" s="108" t="s">
        <v>748</v>
      </c>
      <c r="OH9" s="108" t="s">
        <v>748</v>
      </c>
    </row>
    <row r="10" spans="1:398" ht="25" hidden="1" x14ac:dyDescent="0.35">
      <c r="A10" s="106"/>
      <c r="B10" s="102"/>
      <c r="C10" s="102"/>
      <c r="D10" s="102"/>
      <c r="E10" s="102"/>
      <c r="F10" s="102"/>
      <c r="G10" s="102"/>
      <c r="H10" s="178" t="s">
        <v>943</v>
      </c>
      <c r="I10" s="107"/>
      <c r="J10" s="108"/>
      <c r="K10" s="108"/>
      <c r="L10" s="109"/>
      <c r="M10" s="108"/>
      <c r="N10" s="108"/>
      <c r="O10" s="109"/>
      <c r="P10" s="108"/>
      <c r="Q10" s="108"/>
      <c r="R10" s="109"/>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8"/>
      <c r="BV10" s="108"/>
      <c r="BW10" s="108"/>
      <c r="BX10" s="108"/>
      <c r="BY10" s="108"/>
      <c r="BZ10" s="108"/>
      <c r="CA10" s="108"/>
      <c r="CB10" s="108"/>
      <c r="CC10" s="108"/>
      <c r="CD10" s="108"/>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t="s">
        <v>778</v>
      </c>
      <c r="FB10" s="108" t="s">
        <v>778</v>
      </c>
      <c r="FC10" s="108" t="s">
        <v>778</v>
      </c>
      <c r="FD10" s="108" t="s">
        <v>778</v>
      </c>
      <c r="FE10" s="108" t="s">
        <v>778</v>
      </c>
      <c r="FF10" s="108" t="s">
        <v>778</v>
      </c>
      <c r="FG10" s="108" t="s">
        <v>778</v>
      </c>
      <c r="FH10" s="108" t="s">
        <v>778</v>
      </c>
      <c r="FI10" s="108" t="s">
        <v>778</v>
      </c>
      <c r="FJ10" s="108" t="s">
        <v>778</v>
      </c>
      <c r="FK10" s="108" t="s">
        <v>778</v>
      </c>
      <c r="FL10" s="108" t="s">
        <v>778</v>
      </c>
      <c r="FM10" s="108" t="s">
        <v>778</v>
      </c>
      <c r="FN10" s="108" t="s">
        <v>778</v>
      </c>
      <c r="FO10" s="108" t="s">
        <v>778</v>
      </c>
      <c r="FP10" s="108" t="s">
        <v>778</v>
      </c>
      <c r="FQ10" s="108" t="s">
        <v>778</v>
      </c>
      <c r="FR10" s="108" t="s">
        <v>778</v>
      </c>
      <c r="FS10" s="108" t="s">
        <v>778</v>
      </c>
      <c r="FT10" s="108" t="s">
        <v>778</v>
      </c>
      <c r="FU10" s="108" t="s">
        <v>778</v>
      </c>
      <c r="FV10" s="108" t="s">
        <v>778</v>
      </c>
      <c r="FW10" s="108" t="s">
        <v>778</v>
      </c>
      <c r="FX10" s="108" t="s">
        <v>778</v>
      </c>
      <c r="FY10" s="108" t="s">
        <v>778</v>
      </c>
      <c r="FZ10" s="108" t="s">
        <v>778</v>
      </c>
      <c r="GA10" s="108" t="s">
        <v>778</v>
      </c>
      <c r="GB10" s="108" t="s">
        <v>778</v>
      </c>
      <c r="GC10" s="108" t="s">
        <v>778</v>
      </c>
      <c r="GD10" s="108" t="s">
        <v>778</v>
      </c>
      <c r="GE10" s="108" t="s">
        <v>778</v>
      </c>
      <c r="GF10" s="108" t="s">
        <v>778</v>
      </c>
      <c r="GG10" s="108" t="s">
        <v>778</v>
      </c>
      <c r="GH10" s="108" t="s">
        <v>778</v>
      </c>
      <c r="GI10" s="108" t="s">
        <v>778</v>
      </c>
      <c r="GJ10" s="108" t="s">
        <v>778</v>
      </c>
      <c r="GK10" s="108" t="s">
        <v>778</v>
      </c>
      <c r="GL10" s="108" t="s">
        <v>778</v>
      </c>
      <c r="GM10" s="108" t="s">
        <v>778</v>
      </c>
      <c r="GN10" s="108" t="s">
        <v>778</v>
      </c>
      <c r="GO10" s="108" t="s">
        <v>778</v>
      </c>
      <c r="GP10" s="108" t="s">
        <v>778</v>
      </c>
      <c r="GQ10" s="108" t="s">
        <v>778</v>
      </c>
      <c r="GR10" s="108" t="s">
        <v>778</v>
      </c>
      <c r="GS10" s="108" t="s">
        <v>778</v>
      </c>
      <c r="GT10" s="108" t="s">
        <v>778</v>
      </c>
      <c r="GU10" s="108" t="s">
        <v>778</v>
      </c>
      <c r="GV10" s="108" t="s">
        <v>778</v>
      </c>
      <c r="GW10" s="108" t="s">
        <v>778</v>
      </c>
      <c r="GX10" s="108" t="s">
        <v>778</v>
      </c>
      <c r="GY10" s="108" t="s">
        <v>778</v>
      </c>
      <c r="GZ10" s="108" t="s">
        <v>778</v>
      </c>
      <c r="HA10" s="108" t="s">
        <v>778</v>
      </c>
      <c r="HB10" s="108" t="s">
        <v>778</v>
      </c>
      <c r="HC10" s="108" t="s">
        <v>778</v>
      </c>
      <c r="HD10" s="108" t="s">
        <v>778</v>
      </c>
      <c r="HE10" s="108" t="s">
        <v>778</v>
      </c>
      <c r="HF10" s="108" t="s">
        <v>778</v>
      </c>
      <c r="HG10" s="108" t="s">
        <v>778</v>
      </c>
      <c r="HH10" s="108" t="s">
        <v>778</v>
      </c>
      <c r="HI10" s="108" t="s">
        <v>778</v>
      </c>
      <c r="HJ10" s="108" t="s">
        <v>778</v>
      </c>
      <c r="HK10" s="108" t="s">
        <v>778</v>
      </c>
      <c r="HL10" s="108" t="s">
        <v>778</v>
      </c>
      <c r="HM10" s="108" t="s">
        <v>778</v>
      </c>
      <c r="HN10" s="108" t="s">
        <v>778</v>
      </c>
      <c r="HO10" s="108" t="s">
        <v>778</v>
      </c>
      <c r="HP10" s="108" t="s">
        <v>778</v>
      </c>
      <c r="HQ10" s="108" t="s">
        <v>778</v>
      </c>
      <c r="HR10" s="108" t="s">
        <v>778</v>
      </c>
      <c r="HS10" s="108" t="s">
        <v>778</v>
      </c>
      <c r="HT10" s="108" t="s">
        <v>778</v>
      </c>
      <c r="HU10" s="108" t="s">
        <v>778</v>
      </c>
      <c r="HV10" s="108" t="s">
        <v>778</v>
      </c>
      <c r="HW10" s="108" t="s">
        <v>778</v>
      </c>
      <c r="HX10" s="108" t="s">
        <v>778</v>
      </c>
      <c r="HY10" s="108" t="s">
        <v>778</v>
      </c>
      <c r="HZ10" s="108" t="s">
        <v>778</v>
      </c>
      <c r="IA10" s="108" t="s">
        <v>778</v>
      </c>
      <c r="IB10" s="108" t="s">
        <v>778</v>
      </c>
      <c r="IC10" s="108" t="s">
        <v>778</v>
      </c>
      <c r="ID10" s="108" t="s">
        <v>778</v>
      </c>
      <c r="IE10" s="108" t="s">
        <v>778</v>
      </c>
      <c r="IF10" s="108" t="s">
        <v>778</v>
      </c>
      <c r="IG10" s="108" t="s">
        <v>778</v>
      </c>
      <c r="IH10" s="108" t="s">
        <v>778</v>
      </c>
      <c r="II10" s="108" t="s">
        <v>778</v>
      </c>
      <c r="IJ10" s="108" t="s">
        <v>778</v>
      </c>
      <c r="IK10" s="108" t="s">
        <v>778</v>
      </c>
      <c r="IL10" s="108" t="s">
        <v>778</v>
      </c>
      <c r="IM10" s="108" t="s">
        <v>778</v>
      </c>
      <c r="IN10" s="108" t="s">
        <v>778</v>
      </c>
      <c r="IO10" s="108" t="s">
        <v>778</v>
      </c>
      <c r="IP10" s="108" t="s">
        <v>778</v>
      </c>
      <c r="IQ10" s="108" t="s">
        <v>778</v>
      </c>
      <c r="IR10" s="108" t="s">
        <v>778</v>
      </c>
      <c r="IS10" s="108" t="s">
        <v>778</v>
      </c>
      <c r="IT10" s="108" t="s">
        <v>778</v>
      </c>
      <c r="IU10" s="108" t="s">
        <v>778</v>
      </c>
      <c r="IV10" s="108" t="s">
        <v>778</v>
      </c>
      <c r="IW10" s="108" t="s">
        <v>778</v>
      </c>
      <c r="IX10" s="108" t="s">
        <v>778</v>
      </c>
      <c r="IY10" s="108" t="s">
        <v>778</v>
      </c>
      <c r="IZ10" s="108" t="s">
        <v>778</v>
      </c>
      <c r="JA10" s="108" t="s">
        <v>778</v>
      </c>
      <c r="JB10" s="108" t="s">
        <v>778</v>
      </c>
      <c r="JC10" s="108" t="s">
        <v>778</v>
      </c>
      <c r="JD10" s="108" t="s">
        <v>778</v>
      </c>
      <c r="JE10" s="108" t="s">
        <v>778</v>
      </c>
      <c r="JF10" s="108" t="s">
        <v>778</v>
      </c>
      <c r="JG10" s="108" t="s">
        <v>778</v>
      </c>
      <c r="JH10" s="108" t="s">
        <v>778</v>
      </c>
      <c r="JI10" s="108" t="s">
        <v>778</v>
      </c>
      <c r="JJ10" s="108" t="s">
        <v>778</v>
      </c>
      <c r="JK10" s="108" t="s">
        <v>778</v>
      </c>
      <c r="JL10" s="108" t="s">
        <v>778</v>
      </c>
      <c r="JM10" s="108" t="s">
        <v>778</v>
      </c>
      <c r="JN10" s="108" t="s">
        <v>779</v>
      </c>
      <c r="JO10" s="108" t="s">
        <v>779</v>
      </c>
      <c r="JP10" s="108" t="s">
        <v>779</v>
      </c>
      <c r="JQ10" s="108" t="s">
        <v>779</v>
      </c>
      <c r="JR10" s="108" t="s">
        <v>779</v>
      </c>
      <c r="JS10" s="108" t="s">
        <v>779</v>
      </c>
      <c r="JT10" s="108" t="s">
        <v>779</v>
      </c>
      <c r="JU10" s="108" t="s">
        <v>779</v>
      </c>
      <c r="JV10" s="108" t="s">
        <v>779</v>
      </c>
      <c r="JW10" s="108" t="s">
        <v>779</v>
      </c>
      <c r="JX10" s="108" t="s">
        <v>779</v>
      </c>
      <c r="JY10" s="108" t="s">
        <v>779</v>
      </c>
      <c r="JZ10" s="108" t="s">
        <v>779</v>
      </c>
      <c r="KA10" s="108" t="s">
        <v>779</v>
      </c>
      <c r="KB10" s="108" t="s">
        <v>779</v>
      </c>
      <c r="KC10" s="108" t="s">
        <v>779</v>
      </c>
      <c r="KD10" s="108" t="s">
        <v>779</v>
      </c>
      <c r="KE10" s="108" t="s">
        <v>779</v>
      </c>
      <c r="KF10" s="108" t="s">
        <v>779</v>
      </c>
      <c r="KG10" s="108" t="s">
        <v>779</v>
      </c>
      <c r="KH10" s="108" t="s">
        <v>779</v>
      </c>
      <c r="KI10" s="108" t="s">
        <v>779</v>
      </c>
      <c r="KJ10" s="108" t="s">
        <v>779</v>
      </c>
      <c r="KK10" s="108" t="s">
        <v>747</v>
      </c>
      <c r="KL10" s="108" t="s">
        <v>747</v>
      </c>
      <c r="KM10" s="108" t="s">
        <v>747</v>
      </c>
      <c r="KN10" s="108" t="s">
        <v>747</v>
      </c>
      <c r="KO10" s="108" t="s">
        <v>747</v>
      </c>
      <c r="KP10" s="108" t="s">
        <v>747</v>
      </c>
      <c r="KQ10" s="108" t="s">
        <v>747</v>
      </c>
      <c r="KR10" s="108" t="s">
        <v>747</v>
      </c>
      <c r="KS10" s="108" t="s">
        <v>747</v>
      </c>
      <c r="KT10" s="108" t="s">
        <v>780</v>
      </c>
      <c r="KU10" s="108" t="s">
        <v>780</v>
      </c>
      <c r="KV10" s="108" t="s">
        <v>780</v>
      </c>
      <c r="KW10" s="108" t="s">
        <v>780</v>
      </c>
      <c r="KX10" s="108" t="s">
        <v>780</v>
      </c>
      <c r="KY10" s="108" t="s">
        <v>780</v>
      </c>
      <c r="KZ10" s="108" t="s">
        <v>780</v>
      </c>
      <c r="LA10" s="108" t="s">
        <v>780</v>
      </c>
      <c r="LB10" s="108" t="s">
        <v>780</v>
      </c>
      <c r="LC10" s="108"/>
      <c r="LD10" s="108"/>
      <c r="LE10" s="108"/>
      <c r="LF10" s="108"/>
      <c r="LG10" s="108"/>
      <c r="LH10" s="108"/>
      <c r="LI10" s="108"/>
      <c r="LJ10" s="108"/>
      <c r="LK10" s="108"/>
      <c r="LL10" s="109"/>
      <c r="LM10" s="108"/>
      <c r="LN10" s="108"/>
      <c r="LO10" s="108"/>
      <c r="LP10" s="108"/>
      <c r="LQ10" s="108"/>
      <c r="LR10" s="108"/>
      <c r="LS10" s="108"/>
      <c r="LT10" s="108"/>
      <c r="LU10" s="108"/>
      <c r="LV10" s="108"/>
      <c r="LW10" s="108"/>
      <c r="LX10" s="108"/>
      <c r="LY10" s="108"/>
      <c r="LZ10" s="108"/>
      <c r="MA10" s="108"/>
      <c r="MB10" s="108"/>
      <c r="MC10" s="108"/>
      <c r="MD10" s="108" t="s">
        <v>778</v>
      </c>
      <c r="ME10" s="108" t="s">
        <v>778</v>
      </c>
      <c r="MF10" s="108" t="s">
        <v>778</v>
      </c>
      <c r="MG10" s="108" t="s">
        <v>779</v>
      </c>
      <c r="MH10" s="108" t="s">
        <v>779</v>
      </c>
      <c r="MI10" s="108" t="s">
        <v>779</v>
      </c>
      <c r="MJ10" s="108" t="s">
        <v>747</v>
      </c>
      <c r="MK10" s="108" t="s">
        <v>747</v>
      </c>
      <c r="ML10" s="108" t="s">
        <v>780</v>
      </c>
      <c r="MM10" s="108" t="s">
        <v>780</v>
      </c>
      <c r="MN10" s="108"/>
      <c r="MO10" s="108"/>
      <c r="MP10" s="108"/>
      <c r="MQ10" s="109"/>
      <c r="MR10" s="108"/>
      <c r="MS10" s="108"/>
      <c r="MT10" s="108"/>
      <c r="MU10" s="108"/>
      <c r="MV10" s="108"/>
      <c r="MW10" s="108"/>
      <c r="MX10" s="108"/>
      <c r="MY10" s="108"/>
      <c r="MZ10" s="108"/>
      <c r="NA10" s="108"/>
      <c r="NB10" s="108"/>
      <c r="NC10" s="108"/>
      <c r="ND10" s="108"/>
      <c r="NE10" s="108"/>
      <c r="NF10" s="108"/>
      <c r="NG10" s="108"/>
      <c r="NH10" s="108"/>
      <c r="NI10" s="108" t="s">
        <v>778</v>
      </c>
      <c r="NJ10" s="108" t="s">
        <v>778</v>
      </c>
      <c r="NK10" s="108" t="s">
        <v>778</v>
      </c>
      <c r="NL10" s="108" t="s">
        <v>779</v>
      </c>
      <c r="NM10" s="108" t="s">
        <v>779</v>
      </c>
      <c r="NN10" s="108" t="s">
        <v>779</v>
      </c>
      <c r="NO10" s="108" t="s">
        <v>747</v>
      </c>
      <c r="NP10" s="108" t="s">
        <v>747</v>
      </c>
      <c r="NQ10" s="108" t="s">
        <v>780</v>
      </c>
      <c r="NR10" s="108" t="s">
        <v>780</v>
      </c>
      <c r="NS10" s="108"/>
      <c r="NT10" s="108"/>
      <c r="NU10" s="108"/>
      <c r="NV10" s="108"/>
      <c r="NW10" s="108"/>
      <c r="NX10" s="108"/>
      <c r="NY10" s="108"/>
      <c r="NZ10" s="108"/>
      <c r="OA10" s="108"/>
      <c r="OB10" s="108"/>
      <c r="OC10" s="108"/>
      <c r="OD10" s="108"/>
      <c r="OE10" s="108"/>
      <c r="OF10" s="108"/>
      <c r="OG10" s="108"/>
      <c r="OH10" s="108"/>
    </row>
    <row r="11" spans="1:398" ht="87.5" hidden="1" x14ac:dyDescent="0.35">
      <c r="A11" s="106"/>
      <c r="B11" s="102"/>
      <c r="C11" s="102"/>
      <c r="D11" s="102"/>
      <c r="E11" s="102"/>
      <c r="F11" s="102"/>
      <c r="G11" s="102"/>
      <c r="H11" s="178" t="s">
        <v>781</v>
      </c>
      <c r="I11" s="107"/>
      <c r="J11" s="108"/>
      <c r="K11" s="108"/>
      <c r="L11" s="109"/>
      <c r="M11" s="108"/>
      <c r="N11" s="108"/>
      <c r="O11" s="109"/>
      <c r="P11" s="109"/>
      <c r="Q11" s="108"/>
      <c r="R11" s="109"/>
      <c r="S11" s="108"/>
      <c r="T11" s="108"/>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8" t="s">
        <v>782</v>
      </c>
      <c r="BA11" s="108" t="s">
        <v>782</v>
      </c>
      <c r="BB11" s="108" t="s">
        <v>782</v>
      </c>
      <c r="BC11" s="108" t="s">
        <v>782</v>
      </c>
      <c r="BD11" s="108" t="s">
        <v>782</v>
      </c>
      <c r="BE11" s="108" t="s">
        <v>782</v>
      </c>
      <c r="BF11" s="108" t="s">
        <v>782</v>
      </c>
      <c r="BG11" s="108" t="s">
        <v>782</v>
      </c>
      <c r="BH11" s="108" t="s">
        <v>782</v>
      </c>
      <c r="BI11" s="108" t="s">
        <v>782</v>
      </c>
      <c r="BJ11" s="108" t="s">
        <v>782</v>
      </c>
      <c r="BK11" s="108" t="s">
        <v>782</v>
      </c>
      <c r="BL11" s="108" t="s">
        <v>782</v>
      </c>
      <c r="BM11" s="108" t="s">
        <v>782</v>
      </c>
      <c r="BN11" s="108" t="s">
        <v>782</v>
      </c>
      <c r="BO11" s="108" t="s">
        <v>782</v>
      </c>
      <c r="BP11" s="108" t="s">
        <v>782</v>
      </c>
      <c r="BQ11" s="108" t="s">
        <v>782</v>
      </c>
      <c r="BR11" s="108" t="s">
        <v>782</v>
      </c>
      <c r="BS11" s="108" t="s">
        <v>782</v>
      </c>
      <c r="BT11" s="108" t="s">
        <v>782</v>
      </c>
      <c r="BU11" s="108" t="s">
        <v>783</v>
      </c>
      <c r="BV11" s="108" t="s">
        <v>783</v>
      </c>
      <c r="BW11" s="108" t="s">
        <v>783</v>
      </c>
      <c r="BX11" s="108" t="s">
        <v>783</v>
      </c>
      <c r="BY11" s="108" t="s">
        <v>783</v>
      </c>
      <c r="BZ11" s="108" t="s">
        <v>783</v>
      </c>
      <c r="CA11" s="108" t="s">
        <v>783</v>
      </c>
      <c r="CB11" s="108" t="s">
        <v>783</v>
      </c>
      <c r="CC11" s="108" t="s">
        <v>783</v>
      </c>
      <c r="CD11" s="108" t="s">
        <v>783</v>
      </c>
      <c r="CE11" s="108" t="s">
        <v>783</v>
      </c>
      <c r="CF11" s="108" t="s">
        <v>783</v>
      </c>
      <c r="CG11" s="108" t="s">
        <v>784</v>
      </c>
      <c r="CH11" s="108" t="s">
        <v>784</v>
      </c>
      <c r="CI11" s="108" t="s">
        <v>784</v>
      </c>
      <c r="CJ11" s="108" t="s">
        <v>945</v>
      </c>
      <c r="CK11" s="108" t="s">
        <v>945</v>
      </c>
      <c r="CL11" s="108" t="s">
        <v>945</v>
      </c>
      <c r="CM11" s="108" t="s">
        <v>786</v>
      </c>
      <c r="CN11" s="108" t="s">
        <v>786</v>
      </c>
      <c r="CO11" s="108" t="s">
        <v>786</v>
      </c>
      <c r="CP11" s="108" t="s">
        <v>787</v>
      </c>
      <c r="CQ11" s="108" t="s">
        <v>787</v>
      </c>
      <c r="CR11" s="108" t="s">
        <v>787</v>
      </c>
      <c r="CS11" s="108" t="s">
        <v>788</v>
      </c>
      <c r="CT11" s="108" t="s">
        <v>788</v>
      </c>
      <c r="CU11" s="108" t="s">
        <v>788</v>
      </c>
      <c r="CV11" s="108" t="s">
        <v>789</v>
      </c>
      <c r="CW11" s="108" t="s">
        <v>789</v>
      </c>
      <c r="CX11" s="108" t="s">
        <v>789</v>
      </c>
      <c r="CY11" s="108" t="s">
        <v>790</v>
      </c>
      <c r="CZ11" s="108" t="s">
        <v>790</v>
      </c>
      <c r="DA11" s="108" t="s">
        <v>790</v>
      </c>
      <c r="DB11" s="108" t="s">
        <v>791</v>
      </c>
      <c r="DC11" s="108" t="s">
        <v>791</v>
      </c>
      <c r="DD11" s="108" t="s">
        <v>791</v>
      </c>
      <c r="DE11" s="108" t="s">
        <v>782</v>
      </c>
      <c r="DF11" s="108" t="s">
        <v>782</v>
      </c>
      <c r="DG11" s="108" t="s">
        <v>782</v>
      </c>
      <c r="DH11" s="108" t="s">
        <v>782</v>
      </c>
      <c r="DI11" s="108" t="s">
        <v>782</v>
      </c>
      <c r="DJ11" s="108" t="s">
        <v>783</v>
      </c>
      <c r="DK11" s="108" t="s">
        <v>783</v>
      </c>
      <c r="DL11" s="108" t="s">
        <v>783</v>
      </c>
      <c r="DM11" s="108" t="s">
        <v>783</v>
      </c>
      <c r="DN11" s="108" t="s">
        <v>786</v>
      </c>
      <c r="DO11" s="108" t="s">
        <v>786</v>
      </c>
      <c r="DP11" s="108" t="s">
        <v>787</v>
      </c>
      <c r="DQ11" s="108" t="s">
        <v>787</v>
      </c>
      <c r="DR11" s="108" t="s">
        <v>792</v>
      </c>
      <c r="DS11" s="108" t="s">
        <v>792</v>
      </c>
      <c r="DT11" s="108" t="s">
        <v>792</v>
      </c>
      <c r="DU11" s="108" t="s">
        <v>792</v>
      </c>
      <c r="DV11" s="108" t="s">
        <v>792</v>
      </c>
      <c r="DW11" s="108" t="s">
        <v>791</v>
      </c>
      <c r="DX11" s="108" t="s">
        <v>793</v>
      </c>
      <c r="DY11" s="108" t="s">
        <v>782</v>
      </c>
      <c r="DZ11" s="108" t="s">
        <v>783</v>
      </c>
      <c r="EA11" s="108" t="s">
        <v>783</v>
      </c>
      <c r="EB11" s="108" t="s">
        <v>783</v>
      </c>
      <c r="EC11" s="108" t="s">
        <v>783</v>
      </c>
      <c r="ED11" s="108" t="s">
        <v>784</v>
      </c>
      <c r="EE11" s="108" t="s">
        <v>945</v>
      </c>
      <c r="EF11" s="108" t="s">
        <v>786</v>
      </c>
      <c r="EG11" s="108" t="s">
        <v>790</v>
      </c>
      <c r="EH11" s="108" t="s">
        <v>787</v>
      </c>
      <c r="EI11" s="108" t="s">
        <v>788</v>
      </c>
      <c r="EJ11" s="108" t="s">
        <v>789</v>
      </c>
      <c r="EK11" s="108" t="s">
        <v>791</v>
      </c>
      <c r="EL11" s="108" t="s">
        <v>794</v>
      </c>
      <c r="EM11" s="108"/>
      <c r="EN11" s="108"/>
      <c r="EO11" s="108"/>
      <c r="EP11" s="108"/>
      <c r="EQ11" s="108"/>
      <c r="ER11" s="108"/>
      <c r="ES11" s="108"/>
      <c r="ET11" s="108"/>
      <c r="EU11" s="108"/>
      <c r="EV11" s="108"/>
      <c r="EW11" s="108"/>
      <c r="EX11" s="108"/>
      <c r="EY11" s="108"/>
      <c r="EZ11" s="108"/>
      <c r="FA11" s="108" t="s">
        <v>782</v>
      </c>
      <c r="FB11" s="108" t="s">
        <v>782</v>
      </c>
      <c r="FC11" s="108" t="s">
        <v>782</v>
      </c>
      <c r="FD11" s="108" t="s">
        <v>782</v>
      </c>
      <c r="FE11" s="108" t="s">
        <v>782</v>
      </c>
      <c r="FF11" s="108" t="s">
        <v>782</v>
      </c>
      <c r="FG11" s="108" t="s">
        <v>782</v>
      </c>
      <c r="FH11" s="108" t="s">
        <v>782</v>
      </c>
      <c r="FI11" s="108" t="s">
        <v>782</v>
      </c>
      <c r="FJ11" s="108" t="s">
        <v>782</v>
      </c>
      <c r="FK11" s="108" t="s">
        <v>782</v>
      </c>
      <c r="FL11" s="108" t="s">
        <v>782</v>
      </c>
      <c r="FM11" s="108" t="s">
        <v>782</v>
      </c>
      <c r="FN11" s="108" t="s">
        <v>782</v>
      </c>
      <c r="FO11" s="108" t="s">
        <v>782</v>
      </c>
      <c r="FP11" s="108" t="s">
        <v>782</v>
      </c>
      <c r="FQ11" s="108" t="s">
        <v>782</v>
      </c>
      <c r="FR11" s="108" t="s">
        <v>782</v>
      </c>
      <c r="FS11" s="108" t="s">
        <v>782</v>
      </c>
      <c r="FT11" s="108" t="s">
        <v>782</v>
      </c>
      <c r="FU11" s="108" t="s">
        <v>782</v>
      </c>
      <c r="FV11" s="108" t="s">
        <v>782</v>
      </c>
      <c r="FW11" s="108" t="s">
        <v>782</v>
      </c>
      <c r="FX11" s="108" t="s">
        <v>782</v>
      </c>
      <c r="FY11" s="108" t="s">
        <v>782</v>
      </c>
      <c r="FZ11" s="108" t="s">
        <v>782</v>
      </c>
      <c r="GA11" s="108" t="s">
        <v>782</v>
      </c>
      <c r="GB11" s="108" t="s">
        <v>782</v>
      </c>
      <c r="GC11" s="108" t="s">
        <v>782</v>
      </c>
      <c r="GD11" s="108" t="s">
        <v>782</v>
      </c>
      <c r="GE11" s="108" t="s">
        <v>782</v>
      </c>
      <c r="GF11" s="108" t="s">
        <v>782</v>
      </c>
      <c r="GG11" s="108" t="s">
        <v>782</v>
      </c>
      <c r="GH11" s="108" t="s">
        <v>782</v>
      </c>
      <c r="GI11" s="108" t="s">
        <v>782</v>
      </c>
      <c r="GJ11" s="108" t="s">
        <v>782</v>
      </c>
      <c r="GK11" s="108" t="s">
        <v>782</v>
      </c>
      <c r="GL11" s="108" t="s">
        <v>782</v>
      </c>
      <c r="GM11" s="108" t="s">
        <v>782</v>
      </c>
      <c r="GN11" s="108" t="s">
        <v>782</v>
      </c>
      <c r="GO11" s="108" t="s">
        <v>782</v>
      </c>
      <c r="GP11" s="108" t="s">
        <v>782</v>
      </c>
      <c r="GQ11" s="108" t="s">
        <v>782</v>
      </c>
      <c r="GR11" s="108" t="s">
        <v>782</v>
      </c>
      <c r="GS11" s="108" t="s">
        <v>782</v>
      </c>
      <c r="GT11" s="108" t="s">
        <v>782</v>
      </c>
      <c r="GU11" s="108" t="s">
        <v>782</v>
      </c>
      <c r="GV11" s="108" t="s">
        <v>782</v>
      </c>
      <c r="GW11" s="108" t="s">
        <v>782</v>
      </c>
      <c r="GX11" s="108" t="s">
        <v>782</v>
      </c>
      <c r="GY11" s="108" t="s">
        <v>782</v>
      </c>
      <c r="GZ11" s="108" t="s">
        <v>782</v>
      </c>
      <c r="HA11" s="108" t="s">
        <v>782</v>
      </c>
      <c r="HB11" s="108" t="s">
        <v>782</v>
      </c>
      <c r="HC11" s="108" t="s">
        <v>782</v>
      </c>
      <c r="HD11" s="108" t="s">
        <v>782</v>
      </c>
      <c r="HE11" s="108" t="s">
        <v>782</v>
      </c>
      <c r="HF11" s="108" t="s">
        <v>782</v>
      </c>
      <c r="HG11" s="108" t="s">
        <v>782</v>
      </c>
      <c r="HH11" s="108" t="s">
        <v>782</v>
      </c>
      <c r="HI11" s="108" t="s">
        <v>782</v>
      </c>
      <c r="HJ11" s="108" t="s">
        <v>782</v>
      </c>
      <c r="HK11" s="108" t="s">
        <v>782</v>
      </c>
      <c r="HL11" s="108" t="s">
        <v>782</v>
      </c>
      <c r="HM11" s="108" t="s">
        <v>782</v>
      </c>
      <c r="HN11" s="108" t="s">
        <v>782</v>
      </c>
      <c r="HO11" s="108" t="s">
        <v>782</v>
      </c>
      <c r="HP11" s="108" t="s">
        <v>782</v>
      </c>
      <c r="HQ11" s="108" t="s">
        <v>782</v>
      </c>
      <c r="HR11" s="108" t="s">
        <v>782</v>
      </c>
      <c r="HS11" s="108" t="s">
        <v>782</v>
      </c>
      <c r="HT11" s="108" t="s">
        <v>782</v>
      </c>
      <c r="HU11" s="108" t="s">
        <v>782</v>
      </c>
      <c r="HV11" s="108" t="s">
        <v>782</v>
      </c>
      <c r="HW11" s="108" t="s">
        <v>782</v>
      </c>
      <c r="HX11" s="108" t="s">
        <v>782</v>
      </c>
      <c r="HY11" s="108" t="s">
        <v>782</v>
      </c>
      <c r="HZ11" s="108" t="s">
        <v>782</v>
      </c>
      <c r="IA11" s="108" t="s">
        <v>782</v>
      </c>
      <c r="IB11" s="108" t="s">
        <v>782</v>
      </c>
      <c r="IC11" s="108" t="s">
        <v>782</v>
      </c>
      <c r="ID11" s="108" t="s">
        <v>783</v>
      </c>
      <c r="IE11" s="108" t="s">
        <v>783</v>
      </c>
      <c r="IF11" s="108" t="s">
        <v>783</v>
      </c>
      <c r="IG11" s="108" t="s">
        <v>783</v>
      </c>
      <c r="IH11" s="108" t="s">
        <v>783</v>
      </c>
      <c r="II11" s="108" t="s">
        <v>783</v>
      </c>
      <c r="IJ11" s="108" t="s">
        <v>783</v>
      </c>
      <c r="IK11" s="108" t="s">
        <v>783</v>
      </c>
      <c r="IL11" s="108" t="s">
        <v>783</v>
      </c>
      <c r="IM11" s="108" t="s">
        <v>783</v>
      </c>
      <c r="IN11" s="108" t="s">
        <v>783</v>
      </c>
      <c r="IO11" s="108" t="s">
        <v>783</v>
      </c>
      <c r="IP11" s="108" t="s">
        <v>784</v>
      </c>
      <c r="IQ11" s="108" t="s">
        <v>784</v>
      </c>
      <c r="IR11" s="108" t="s">
        <v>784</v>
      </c>
      <c r="IS11" s="108" t="s">
        <v>785</v>
      </c>
      <c r="IT11" s="108" t="s">
        <v>785</v>
      </c>
      <c r="IU11" s="108" t="s">
        <v>785</v>
      </c>
      <c r="IV11" s="108" t="s">
        <v>786</v>
      </c>
      <c r="IW11" s="108" t="s">
        <v>786</v>
      </c>
      <c r="IX11" s="108" t="s">
        <v>786</v>
      </c>
      <c r="IY11" s="108" t="s">
        <v>787</v>
      </c>
      <c r="IZ11" s="108" t="s">
        <v>787</v>
      </c>
      <c r="JA11" s="108" t="s">
        <v>787</v>
      </c>
      <c r="JB11" s="108" t="s">
        <v>788</v>
      </c>
      <c r="JC11" s="108" t="s">
        <v>788</v>
      </c>
      <c r="JD11" s="108" t="s">
        <v>788</v>
      </c>
      <c r="JE11" s="108" t="s">
        <v>789</v>
      </c>
      <c r="JF11" s="108" t="s">
        <v>789</v>
      </c>
      <c r="JG11" s="108" t="s">
        <v>789</v>
      </c>
      <c r="JH11" s="108" t="s">
        <v>790</v>
      </c>
      <c r="JI11" s="108" t="s">
        <v>790</v>
      </c>
      <c r="JJ11" s="108" t="s">
        <v>790</v>
      </c>
      <c r="JK11" s="108" t="s">
        <v>791</v>
      </c>
      <c r="JL11" s="108" t="s">
        <v>791</v>
      </c>
      <c r="JM11" s="108" t="s">
        <v>791</v>
      </c>
      <c r="JN11" s="108" t="s">
        <v>782</v>
      </c>
      <c r="JO11" s="108" t="s">
        <v>782</v>
      </c>
      <c r="JP11" s="108" t="s">
        <v>782</v>
      </c>
      <c r="JQ11" s="108" t="s">
        <v>782</v>
      </c>
      <c r="JR11" s="108" t="s">
        <v>782</v>
      </c>
      <c r="JS11" s="108" t="s">
        <v>782</v>
      </c>
      <c r="JT11" s="108" t="s">
        <v>774</v>
      </c>
      <c r="JU11" s="108" t="s">
        <v>774</v>
      </c>
      <c r="JV11" s="108" t="s">
        <v>774</v>
      </c>
      <c r="JW11" s="108" t="s">
        <v>774</v>
      </c>
      <c r="JX11" s="108" t="s">
        <v>774</v>
      </c>
      <c r="JY11" s="108" t="s">
        <v>774</v>
      </c>
      <c r="JZ11" s="108" t="s">
        <v>782</v>
      </c>
      <c r="KA11" s="108" t="s">
        <v>782</v>
      </c>
      <c r="KB11" s="108" t="s">
        <v>782</v>
      </c>
      <c r="KC11" s="108" t="s">
        <v>782</v>
      </c>
      <c r="KD11" s="108" t="s">
        <v>782</v>
      </c>
      <c r="KE11" s="108" t="s">
        <v>795</v>
      </c>
      <c r="KF11" s="108" t="s">
        <v>795</v>
      </c>
      <c r="KG11" s="108" t="s">
        <v>792</v>
      </c>
      <c r="KH11" s="108" t="s">
        <v>792</v>
      </c>
      <c r="KI11" s="108" t="s">
        <v>774</v>
      </c>
      <c r="KJ11" s="108" t="s">
        <v>774</v>
      </c>
      <c r="KK11" s="108" t="s">
        <v>782</v>
      </c>
      <c r="KL11" s="108" t="s">
        <v>782</v>
      </c>
      <c r="KM11" s="108" t="s">
        <v>782</v>
      </c>
      <c r="KN11" s="108" t="s">
        <v>786</v>
      </c>
      <c r="KO11" s="108" t="s">
        <v>786</v>
      </c>
      <c r="KP11" s="108" t="s">
        <v>786</v>
      </c>
      <c r="KQ11" s="108" t="s">
        <v>774</v>
      </c>
      <c r="KR11" s="108" t="s">
        <v>774</v>
      </c>
      <c r="KS11" s="108" t="s">
        <v>774</v>
      </c>
      <c r="KT11" s="108" t="s">
        <v>782</v>
      </c>
      <c r="KU11" s="108" t="s">
        <v>782</v>
      </c>
      <c r="KV11" s="108" t="s">
        <v>782</v>
      </c>
      <c r="KW11" s="108" t="s">
        <v>786</v>
      </c>
      <c r="KX11" s="108" t="s">
        <v>786</v>
      </c>
      <c r="KY11" s="108" t="s">
        <v>786</v>
      </c>
      <c r="KZ11" s="108" t="s">
        <v>774</v>
      </c>
      <c r="LA11" s="108" t="s">
        <v>774</v>
      </c>
      <c r="LB11" s="108" t="s">
        <v>774</v>
      </c>
      <c r="LC11" s="108" t="s">
        <v>796</v>
      </c>
      <c r="LD11" s="108" t="s">
        <v>796</v>
      </c>
      <c r="LE11" s="108" t="s">
        <v>796</v>
      </c>
      <c r="LF11" s="108" t="s">
        <v>795</v>
      </c>
      <c r="LG11" s="108" t="s">
        <v>795</v>
      </c>
      <c r="LH11" s="108" t="s">
        <v>795</v>
      </c>
      <c r="LI11" s="108" t="s">
        <v>774</v>
      </c>
      <c r="LJ11" s="108" t="s">
        <v>774</v>
      </c>
      <c r="LK11" s="108" t="s">
        <v>774</v>
      </c>
      <c r="LL11" s="109" t="s">
        <v>782</v>
      </c>
      <c r="LM11" s="108" t="s">
        <v>782</v>
      </c>
      <c r="LN11" s="108" t="s">
        <v>782</v>
      </c>
      <c r="LO11" s="108" t="s">
        <v>795</v>
      </c>
      <c r="LP11" s="108" t="s">
        <v>795</v>
      </c>
      <c r="LQ11" s="108" t="s">
        <v>795</v>
      </c>
      <c r="LR11" s="108" t="s">
        <v>774</v>
      </c>
      <c r="LS11" s="108" t="s">
        <v>774</v>
      </c>
      <c r="LT11" s="108" t="s">
        <v>774</v>
      </c>
      <c r="LU11" s="108" t="s">
        <v>782</v>
      </c>
      <c r="LV11" s="108" t="s">
        <v>795</v>
      </c>
      <c r="LW11" s="108" t="s">
        <v>774</v>
      </c>
      <c r="LX11" s="108" t="s">
        <v>782</v>
      </c>
      <c r="LY11" s="108" t="s">
        <v>795</v>
      </c>
      <c r="LZ11" s="108" t="s">
        <v>774</v>
      </c>
      <c r="MA11" s="108" t="s">
        <v>794</v>
      </c>
      <c r="MB11" s="108" t="s">
        <v>782</v>
      </c>
      <c r="MC11" s="108" t="s">
        <v>795</v>
      </c>
      <c r="MD11" s="108" t="s">
        <v>782</v>
      </c>
      <c r="ME11" s="108" t="s">
        <v>795</v>
      </c>
      <c r="MF11" s="108" t="s">
        <v>774</v>
      </c>
      <c r="MG11" s="108" t="s">
        <v>782</v>
      </c>
      <c r="MH11" s="108" t="s">
        <v>795</v>
      </c>
      <c r="MI11" s="108" t="s">
        <v>774</v>
      </c>
      <c r="MJ11" s="108" t="s">
        <v>782</v>
      </c>
      <c r="MK11" s="108" t="s">
        <v>774</v>
      </c>
      <c r="ML11" s="108" t="s">
        <v>782</v>
      </c>
      <c r="MM11" s="108" t="s">
        <v>774</v>
      </c>
      <c r="MN11" s="108" t="s">
        <v>782</v>
      </c>
      <c r="MO11" s="108" t="s">
        <v>795</v>
      </c>
      <c r="MP11" s="108" t="s">
        <v>774</v>
      </c>
      <c r="MQ11" s="109" t="s">
        <v>782</v>
      </c>
      <c r="MR11" s="108" t="s">
        <v>782</v>
      </c>
      <c r="MS11" s="108" t="s">
        <v>782</v>
      </c>
      <c r="MT11" s="108" t="s">
        <v>795</v>
      </c>
      <c r="MU11" s="108" t="s">
        <v>795</v>
      </c>
      <c r="MV11" s="108" t="s">
        <v>795</v>
      </c>
      <c r="MW11" s="108" t="s">
        <v>774</v>
      </c>
      <c r="MX11" s="108" t="s">
        <v>774</v>
      </c>
      <c r="MY11" s="108" t="s">
        <v>774</v>
      </c>
      <c r="MZ11" s="108" t="s">
        <v>782</v>
      </c>
      <c r="NA11" s="108" t="s">
        <v>795</v>
      </c>
      <c r="NB11" s="108" t="s">
        <v>774</v>
      </c>
      <c r="NC11" s="108" t="s">
        <v>782</v>
      </c>
      <c r="ND11" s="108" t="s">
        <v>795</v>
      </c>
      <c r="NE11" s="108" t="s">
        <v>774</v>
      </c>
      <c r="NF11" s="108" t="s">
        <v>794</v>
      </c>
      <c r="NG11" s="108" t="s">
        <v>782</v>
      </c>
      <c r="NH11" s="108" t="s">
        <v>795</v>
      </c>
      <c r="NI11" s="108" t="s">
        <v>782</v>
      </c>
      <c r="NJ11" s="108" t="s">
        <v>795</v>
      </c>
      <c r="NK11" s="108" t="s">
        <v>774</v>
      </c>
      <c r="NL11" s="108" t="s">
        <v>782</v>
      </c>
      <c r="NM11" s="108" t="s">
        <v>795</v>
      </c>
      <c r="NN11" s="108" t="s">
        <v>774</v>
      </c>
      <c r="NO11" s="108" t="s">
        <v>782</v>
      </c>
      <c r="NP11" s="108" t="s">
        <v>774</v>
      </c>
      <c r="NQ11" s="108" t="s">
        <v>782</v>
      </c>
      <c r="NR11" s="108" t="s">
        <v>774</v>
      </c>
      <c r="NS11" s="108" t="s">
        <v>782</v>
      </c>
      <c r="NT11" s="108" t="s">
        <v>795</v>
      </c>
      <c r="NU11" s="108" t="s">
        <v>774</v>
      </c>
      <c r="NV11" s="108" t="s">
        <v>782</v>
      </c>
      <c r="NW11" s="108" t="s">
        <v>782</v>
      </c>
      <c r="NX11" s="108" t="s">
        <v>782</v>
      </c>
      <c r="NY11" s="108" t="s">
        <v>782</v>
      </c>
      <c r="NZ11" s="108" t="s">
        <v>795</v>
      </c>
      <c r="OA11" s="108" t="s">
        <v>795</v>
      </c>
      <c r="OB11" s="108" t="s">
        <v>795</v>
      </c>
      <c r="OC11" s="108" t="s">
        <v>774</v>
      </c>
      <c r="OD11" s="108" t="s">
        <v>774</v>
      </c>
      <c r="OE11" s="108" t="s">
        <v>774</v>
      </c>
      <c r="OF11" s="108" t="s">
        <v>782</v>
      </c>
      <c r="OG11" s="108" t="s">
        <v>795</v>
      </c>
      <c r="OH11" s="108" t="s">
        <v>774</v>
      </c>
    </row>
    <row r="12" spans="1:398" ht="87.5" hidden="1" x14ac:dyDescent="0.35">
      <c r="A12" s="106"/>
      <c r="B12" s="102"/>
      <c r="C12" s="102"/>
      <c r="D12" s="102"/>
      <c r="E12" s="102"/>
      <c r="F12" s="102"/>
      <c r="G12" s="102"/>
      <c r="H12" s="178" t="s">
        <v>128</v>
      </c>
      <c r="I12" s="107"/>
      <c r="J12" s="108"/>
      <c r="K12" s="108"/>
      <c r="L12" s="109"/>
      <c r="M12" s="108"/>
      <c r="N12" s="108"/>
      <c r="O12" s="109"/>
      <c r="P12" s="109"/>
      <c r="Q12" s="108"/>
      <c r="R12" s="109"/>
      <c r="S12" s="108"/>
      <c r="T12" s="108"/>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8" t="s">
        <v>796</v>
      </c>
      <c r="BA12" s="108" t="s">
        <v>796</v>
      </c>
      <c r="BB12" s="108" t="s">
        <v>796</v>
      </c>
      <c r="BC12" s="108" t="s">
        <v>798</v>
      </c>
      <c r="BD12" s="108" t="s">
        <v>798</v>
      </c>
      <c r="BE12" s="108" t="s">
        <v>798</v>
      </c>
      <c r="BF12" s="108" t="s">
        <v>799</v>
      </c>
      <c r="BG12" s="108" t="s">
        <v>799</v>
      </c>
      <c r="BH12" s="108" t="s">
        <v>799</v>
      </c>
      <c r="BI12" s="108" t="s">
        <v>800</v>
      </c>
      <c r="BJ12" s="108" t="s">
        <v>800</v>
      </c>
      <c r="BK12" s="108" t="s">
        <v>800</v>
      </c>
      <c r="BL12" s="108" t="s">
        <v>801</v>
      </c>
      <c r="BM12" s="108" t="s">
        <v>801</v>
      </c>
      <c r="BN12" s="108" t="s">
        <v>801</v>
      </c>
      <c r="BO12" s="108" t="s">
        <v>802</v>
      </c>
      <c r="BP12" s="108" t="s">
        <v>802</v>
      </c>
      <c r="BQ12" s="108" t="s">
        <v>802</v>
      </c>
      <c r="BR12" s="108" t="s">
        <v>803</v>
      </c>
      <c r="BS12" s="108" t="s">
        <v>803</v>
      </c>
      <c r="BT12" s="108" t="s">
        <v>803</v>
      </c>
      <c r="BU12" s="108" t="s">
        <v>804</v>
      </c>
      <c r="BV12" s="108" t="s">
        <v>804</v>
      </c>
      <c r="BW12" s="108" t="s">
        <v>804</v>
      </c>
      <c r="BX12" s="108" t="s">
        <v>805</v>
      </c>
      <c r="BY12" s="108" t="s">
        <v>805</v>
      </c>
      <c r="BZ12" s="108" t="s">
        <v>805</v>
      </c>
      <c r="CA12" s="108" t="s">
        <v>806</v>
      </c>
      <c r="CB12" s="108" t="s">
        <v>806</v>
      </c>
      <c r="CC12" s="108" t="s">
        <v>806</v>
      </c>
      <c r="CD12" s="108" t="s">
        <v>783</v>
      </c>
      <c r="CE12" s="108" t="s">
        <v>783</v>
      </c>
      <c r="CF12" s="108" t="s">
        <v>783</v>
      </c>
      <c r="CG12" s="108" t="s">
        <v>784</v>
      </c>
      <c r="CH12" s="108" t="s">
        <v>784</v>
      </c>
      <c r="CI12" s="108" t="s">
        <v>784</v>
      </c>
      <c r="CJ12" s="108" t="s">
        <v>945</v>
      </c>
      <c r="CK12" s="108" t="s">
        <v>945</v>
      </c>
      <c r="CL12" s="108" t="s">
        <v>945</v>
      </c>
      <c r="CM12" s="108" t="s">
        <v>795</v>
      </c>
      <c r="CN12" s="108" t="s">
        <v>795</v>
      </c>
      <c r="CO12" s="108" t="s">
        <v>795</v>
      </c>
      <c r="CP12" s="108" t="s">
        <v>787</v>
      </c>
      <c r="CQ12" s="108" t="s">
        <v>787</v>
      </c>
      <c r="CR12" s="108" t="s">
        <v>787</v>
      </c>
      <c r="CS12" s="108" t="s">
        <v>788</v>
      </c>
      <c r="CT12" s="108" t="s">
        <v>788</v>
      </c>
      <c r="CU12" s="108" t="s">
        <v>788</v>
      </c>
      <c r="CV12" s="108" t="s">
        <v>789</v>
      </c>
      <c r="CW12" s="108" t="s">
        <v>789</v>
      </c>
      <c r="CX12" s="108" t="s">
        <v>789</v>
      </c>
      <c r="CY12" s="108" t="s">
        <v>790</v>
      </c>
      <c r="CZ12" s="108" t="s">
        <v>790</v>
      </c>
      <c r="DA12" s="108" t="s">
        <v>790</v>
      </c>
      <c r="DB12" s="108" t="s">
        <v>791</v>
      </c>
      <c r="DC12" s="108" t="s">
        <v>791</v>
      </c>
      <c r="DD12" s="108" t="s">
        <v>791</v>
      </c>
      <c r="DE12" s="108"/>
      <c r="DF12" s="108"/>
      <c r="DG12" s="108"/>
      <c r="DH12" s="108"/>
      <c r="DI12" s="108"/>
      <c r="DJ12" s="108"/>
      <c r="DK12" s="108"/>
      <c r="DL12" s="108"/>
      <c r="DM12" s="108"/>
      <c r="DN12" s="108"/>
      <c r="DO12" s="108"/>
      <c r="DP12" s="108"/>
      <c r="DQ12" s="108"/>
      <c r="DR12" s="108"/>
      <c r="DS12" s="108"/>
      <c r="DT12" s="108"/>
      <c r="DU12" s="108"/>
      <c r="DV12" s="108"/>
      <c r="DW12" s="108"/>
      <c r="DX12" s="108"/>
      <c r="DY12" s="108" t="s">
        <v>782</v>
      </c>
      <c r="DZ12" s="108" t="s">
        <v>804</v>
      </c>
      <c r="EA12" s="108" t="s">
        <v>805</v>
      </c>
      <c r="EB12" s="108" t="s">
        <v>806</v>
      </c>
      <c r="EC12" s="108" t="s">
        <v>783</v>
      </c>
      <c r="ED12" s="108" t="s">
        <v>784</v>
      </c>
      <c r="EE12" s="108" t="s">
        <v>945</v>
      </c>
      <c r="EF12" s="108" t="s">
        <v>795</v>
      </c>
      <c r="EG12" s="108" t="s">
        <v>790</v>
      </c>
      <c r="EH12" s="108" t="s">
        <v>787</v>
      </c>
      <c r="EI12" s="108" t="s">
        <v>788</v>
      </c>
      <c r="EJ12" s="108" t="s">
        <v>789</v>
      </c>
      <c r="EK12" s="108" t="s">
        <v>791</v>
      </c>
      <c r="EL12" s="108"/>
      <c r="EM12" s="108"/>
      <c r="EN12" s="108"/>
      <c r="EO12" s="108"/>
      <c r="EP12" s="108"/>
      <c r="EQ12" s="108"/>
      <c r="ER12" s="108"/>
      <c r="ES12" s="108"/>
      <c r="ET12" s="108"/>
      <c r="EU12" s="108"/>
      <c r="EV12" s="108"/>
      <c r="EW12" s="108"/>
      <c r="EX12" s="108"/>
      <c r="EY12" s="108"/>
      <c r="EZ12" s="108"/>
      <c r="FA12" s="108" t="s">
        <v>807</v>
      </c>
      <c r="FB12" s="108" t="s">
        <v>807</v>
      </c>
      <c r="FC12" s="108" t="s">
        <v>807</v>
      </c>
      <c r="FD12" s="108" t="s">
        <v>808</v>
      </c>
      <c r="FE12" s="108" t="s">
        <v>808</v>
      </c>
      <c r="FF12" s="108" t="s">
        <v>808</v>
      </c>
      <c r="FG12" s="108" t="s">
        <v>797</v>
      </c>
      <c r="FH12" s="108" t="s">
        <v>797</v>
      </c>
      <c r="FI12" s="108" t="s">
        <v>797</v>
      </c>
      <c r="FJ12" s="108" t="s">
        <v>809</v>
      </c>
      <c r="FK12" s="108" t="s">
        <v>809</v>
      </c>
      <c r="FL12" s="108" t="s">
        <v>809</v>
      </c>
      <c r="FM12" s="108" t="s">
        <v>810</v>
      </c>
      <c r="FN12" s="108" t="s">
        <v>810</v>
      </c>
      <c r="FO12" s="108" t="s">
        <v>810</v>
      </c>
      <c r="FP12" s="108" t="s">
        <v>798</v>
      </c>
      <c r="FQ12" s="108" t="s">
        <v>798</v>
      </c>
      <c r="FR12" s="108" t="s">
        <v>798</v>
      </c>
      <c r="FS12" s="108" t="s">
        <v>799</v>
      </c>
      <c r="FT12" s="108" t="s">
        <v>799</v>
      </c>
      <c r="FU12" s="108" t="s">
        <v>799</v>
      </c>
      <c r="FV12" s="108" t="s">
        <v>811</v>
      </c>
      <c r="FW12" s="108" t="s">
        <v>811</v>
      </c>
      <c r="FX12" s="108" t="s">
        <v>811</v>
      </c>
      <c r="FY12" s="108" t="s">
        <v>812</v>
      </c>
      <c r="FZ12" s="108" t="s">
        <v>812</v>
      </c>
      <c r="GA12" s="108" t="s">
        <v>812</v>
      </c>
      <c r="GB12" s="108" t="s">
        <v>813</v>
      </c>
      <c r="GC12" s="108" t="s">
        <v>813</v>
      </c>
      <c r="GD12" s="108" t="s">
        <v>813</v>
      </c>
      <c r="GE12" s="108" t="s">
        <v>814</v>
      </c>
      <c r="GF12" s="108" t="s">
        <v>814</v>
      </c>
      <c r="GG12" s="108" t="s">
        <v>814</v>
      </c>
      <c r="GH12" s="108" t="s">
        <v>815</v>
      </c>
      <c r="GI12" s="108" t="s">
        <v>815</v>
      </c>
      <c r="GJ12" s="108" t="s">
        <v>815</v>
      </c>
      <c r="GK12" s="108" t="s">
        <v>800</v>
      </c>
      <c r="GL12" s="108" t="s">
        <v>800</v>
      </c>
      <c r="GM12" s="108" t="s">
        <v>800</v>
      </c>
      <c r="GN12" s="108" t="s">
        <v>816</v>
      </c>
      <c r="GO12" s="108" t="s">
        <v>816</v>
      </c>
      <c r="GP12" s="108" t="s">
        <v>816</v>
      </c>
      <c r="GQ12" s="108" t="s">
        <v>817</v>
      </c>
      <c r="GR12" s="108" t="s">
        <v>817</v>
      </c>
      <c r="GS12" s="108" t="s">
        <v>817</v>
      </c>
      <c r="GT12" s="108" t="s">
        <v>818</v>
      </c>
      <c r="GU12" s="108" t="s">
        <v>818</v>
      </c>
      <c r="GV12" s="108" t="s">
        <v>818</v>
      </c>
      <c r="GW12" s="108" t="s">
        <v>819</v>
      </c>
      <c r="GX12" s="108" t="s">
        <v>819</v>
      </c>
      <c r="GY12" s="108" t="s">
        <v>819</v>
      </c>
      <c r="GZ12" s="108" t="s">
        <v>820</v>
      </c>
      <c r="HA12" s="108" t="s">
        <v>820</v>
      </c>
      <c r="HB12" s="108" t="s">
        <v>820</v>
      </c>
      <c r="HC12" s="108" t="s">
        <v>821</v>
      </c>
      <c r="HD12" s="108" t="s">
        <v>821</v>
      </c>
      <c r="HE12" s="108" t="s">
        <v>821</v>
      </c>
      <c r="HF12" s="108" t="s">
        <v>822</v>
      </c>
      <c r="HG12" s="108" t="s">
        <v>822</v>
      </c>
      <c r="HH12" s="108" t="s">
        <v>822</v>
      </c>
      <c r="HI12" s="108" t="s">
        <v>801</v>
      </c>
      <c r="HJ12" s="108" t="s">
        <v>801</v>
      </c>
      <c r="HK12" s="108" t="s">
        <v>801</v>
      </c>
      <c r="HL12" s="108" t="s">
        <v>823</v>
      </c>
      <c r="HM12" s="108" t="s">
        <v>823</v>
      </c>
      <c r="HN12" s="108" t="s">
        <v>823</v>
      </c>
      <c r="HO12" s="108" t="s">
        <v>802</v>
      </c>
      <c r="HP12" s="108" t="s">
        <v>802</v>
      </c>
      <c r="HQ12" s="108" t="s">
        <v>802</v>
      </c>
      <c r="HR12" s="108" t="s">
        <v>824</v>
      </c>
      <c r="HS12" s="108" t="s">
        <v>824</v>
      </c>
      <c r="HT12" s="108" t="s">
        <v>824</v>
      </c>
      <c r="HU12" s="108" t="s">
        <v>825</v>
      </c>
      <c r="HV12" s="108" t="s">
        <v>825</v>
      </c>
      <c r="HW12" s="108" t="s">
        <v>825</v>
      </c>
      <c r="HX12" s="108" t="s">
        <v>826</v>
      </c>
      <c r="HY12" s="108" t="s">
        <v>826</v>
      </c>
      <c r="HZ12" s="108" t="s">
        <v>826</v>
      </c>
      <c r="IA12" s="108" t="s">
        <v>803</v>
      </c>
      <c r="IB12" s="108" t="s">
        <v>803</v>
      </c>
      <c r="IC12" s="108" t="s">
        <v>803</v>
      </c>
      <c r="ID12" s="108" t="s">
        <v>804</v>
      </c>
      <c r="IE12" s="108" t="s">
        <v>804</v>
      </c>
      <c r="IF12" s="108" t="s">
        <v>804</v>
      </c>
      <c r="IG12" s="108" t="s">
        <v>805</v>
      </c>
      <c r="IH12" s="108" t="s">
        <v>805</v>
      </c>
      <c r="II12" s="108" t="s">
        <v>805</v>
      </c>
      <c r="IJ12" s="108" t="s">
        <v>806</v>
      </c>
      <c r="IK12" s="108" t="s">
        <v>806</v>
      </c>
      <c r="IL12" s="108" t="s">
        <v>806</v>
      </c>
      <c r="IM12" s="108" t="s">
        <v>783</v>
      </c>
      <c r="IN12" s="108" t="s">
        <v>783</v>
      </c>
      <c r="IO12" s="108" t="s">
        <v>783</v>
      </c>
      <c r="IP12" s="108" t="s">
        <v>784</v>
      </c>
      <c r="IQ12" s="108" t="s">
        <v>784</v>
      </c>
      <c r="IR12" s="108" t="s">
        <v>784</v>
      </c>
      <c r="IS12" s="108" t="s">
        <v>785</v>
      </c>
      <c r="IT12" s="108" t="s">
        <v>785</v>
      </c>
      <c r="IU12" s="108" t="s">
        <v>785</v>
      </c>
      <c r="IV12" s="108" t="s">
        <v>795</v>
      </c>
      <c r="IW12" s="108" t="s">
        <v>795</v>
      </c>
      <c r="IX12" s="108" t="s">
        <v>795</v>
      </c>
      <c r="IY12" s="108" t="s">
        <v>787</v>
      </c>
      <c r="IZ12" s="108" t="s">
        <v>787</v>
      </c>
      <c r="JA12" s="108" t="s">
        <v>787</v>
      </c>
      <c r="JB12" s="108" t="s">
        <v>788</v>
      </c>
      <c r="JC12" s="108" t="s">
        <v>788</v>
      </c>
      <c r="JD12" s="108" t="s">
        <v>788</v>
      </c>
      <c r="JE12" s="108" t="s">
        <v>789</v>
      </c>
      <c r="JF12" s="108" t="s">
        <v>789</v>
      </c>
      <c r="JG12" s="108" t="s">
        <v>789</v>
      </c>
      <c r="JH12" s="108" t="s">
        <v>790</v>
      </c>
      <c r="JI12" s="108" t="s">
        <v>790</v>
      </c>
      <c r="JJ12" s="108" t="s">
        <v>790</v>
      </c>
      <c r="JK12" s="108" t="s">
        <v>791</v>
      </c>
      <c r="JL12" s="108" t="s">
        <v>791</v>
      </c>
      <c r="JM12" s="108" t="s">
        <v>791</v>
      </c>
      <c r="JN12" s="108"/>
      <c r="JO12" s="108"/>
      <c r="JP12" s="108"/>
      <c r="JQ12" s="108"/>
      <c r="JR12" s="108"/>
      <c r="JS12" s="108"/>
      <c r="JT12" s="108"/>
      <c r="JU12" s="108"/>
      <c r="JV12" s="108"/>
      <c r="JW12" s="108"/>
      <c r="JX12" s="108"/>
      <c r="JY12" s="108"/>
      <c r="JZ12" s="108"/>
      <c r="KA12" s="108"/>
      <c r="KB12" s="108"/>
      <c r="KC12" s="108"/>
      <c r="KD12" s="108"/>
      <c r="KE12" s="108"/>
      <c r="KF12" s="108"/>
      <c r="KG12" s="108"/>
      <c r="KH12" s="108"/>
      <c r="KI12" s="108"/>
      <c r="KJ12" s="108"/>
      <c r="KK12" s="108"/>
      <c r="KL12" s="108"/>
      <c r="KM12" s="108"/>
      <c r="KN12" s="108"/>
      <c r="KO12" s="108"/>
      <c r="KP12" s="108"/>
      <c r="KQ12" s="108"/>
      <c r="KR12" s="108"/>
      <c r="KS12" s="108"/>
      <c r="KT12" s="108"/>
      <c r="KU12" s="108"/>
      <c r="KV12" s="108"/>
      <c r="KW12" s="108"/>
      <c r="KX12" s="108"/>
      <c r="KY12" s="108"/>
      <c r="KZ12" s="108"/>
      <c r="LA12" s="108"/>
      <c r="LB12" s="108"/>
      <c r="LC12" s="109"/>
      <c r="LD12" s="109"/>
      <c r="LE12" s="109"/>
      <c r="LF12" s="108"/>
      <c r="LG12" s="108"/>
      <c r="LH12" s="108"/>
      <c r="LI12" s="109"/>
      <c r="LJ12" s="109"/>
      <c r="LK12" s="109"/>
      <c r="LL12" s="109"/>
      <c r="LM12" s="108"/>
      <c r="LN12" s="108"/>
      <c r="LO12" s="108"/>
      <c r="LP12" s="108"/>
      <c r="LQ12" s="108"/>
      <c r="LR12" s="108"/>
      <c r="LS12" s="108"/>
      <c r="LT12" s="108"/>
      <c r="LU12" s="108"/>
      <c r="LV12" s="108"/>
      <c r="LW12" s="108"/>
      <c r="LX12" s="108"/>
      <c r="LY12" s="108"/>
      <c r="LZ12" s="108"/>
      <c r="MA12" s="108"/>
      <c r="MB12" s="108"/>
      <c r="MC12" s="108"/>
      <c r="MD12" s="108"/>
      <c r="ME12" s="108"/>
      <c r="MF12" s="108"/>
      <c r="MG12" s="108"/>
      <c r="MH12" s="108"/>
      <c r="MI12" s="108"/>
      <c r="MJ12" s="108"/>
      <c r="MK12" s="108"/>
      <c r="ML12" s="108"/>
      <c r="MM12" s="108"/>
      <c r="MN12" s="108"/>
      <c r="MO12" s="108"/>
      <c r="MP12" s="108"/>
      <c r="MQ12" s="109"/>
      <c r="MR12" s="108"/>
      <c r="MS12" s="108"/>
      <c r="MT12" s="108"/>
      <c r="MU12" s="108"/>
      <c r="MV12" s="108"/>
      <c r="MW12" s="108"/>
      <c r="MX12" s="108"/>
      <c r="MY12" s="108"/>
      <c r="MZ12" s="108"/>
      <c r="NA12" s="108"/>
      <c r="NB12" s="108"/>
      <c r="NC12" s="108"/>
      <c r="ND12" s="108"/>
      <c r="NE12" s="108"/>
      <c r="NF12" s="108"/>
      <c r="NG12" s="108"/>
      <c r="NH12" s="108"/>
      <c r="NI12" s="108"/>
      <c r="NJ12" s="108"/>
      <c r="NK12" s="108"/>
      <c r="NL12" s="108"/>
      <c r="NM12" s="108"/>
      <c r="NN12" s="108"/>
      <c r="NO12" s="108"/>
      <c r="NP12" s="108"/>
      <c r="NQ12" s="108"/>
      <c r="NR12" s="108"/>
      <c r="NS12" s="108"/>
      <c r="NT12" s="108"/>
      <c r="NU12" s="108"/>
      <c r="NV12" s="108"/>
      <c r="NW12" s="108"/>
      <c r="NX12" s="108"/>
      <c r="NY12" s="108"/>
      <c r="NZ12" s="108"/>
      <c r="OA12" s="108"/>
      <c r="OB12" s="108"/>
      <c r="OC12" s="109"/>
      <c r="OD12" s="109"/>
      <c r="OE12" s="109"/>
      <c r="OF12" s="108"/>
      <c r="OG12" s="108"/>
      <c r="OH12" s="108"/>
    </row>
    <row r="13" spans="1:398" ht="35.15" hidden="1" customHeight="1" x14ac:dyDescent="0.35">
      <c r="A13" s="106"/>
      <c r="B13" s="102"/>
      <c r="C13" s="102"/>
      <c r="D13" s="102"/>
      <c r="E13" s="102"/>
      <c r="F13" s="102"/>
      <c r="G13" s="102"/>
      <c r="H13" s="178" t="s">
        <v>827</v>
      </c>
      <c r="I13" s="107"/>
      <c r="J13" s="108"/>
      <c r="K13" s="108"/>
      <c r="L13" s="109"/>
      <c r="M13" s="108"/>
      <c r="N13" s="108"/>
      <c r="O13" s="109"/>
      <c r="P13" s="108"/>
      <c r="Q13" s="108"/>
      <c r="R13" s="109"/>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t="s">
        <v>828</v>
      </c>
      <c r="BA13" s="108" t="s">
        <v>829</v>
      </c>
      <c r="BB13" s="108" t="s">
        <v>830</v>
      </c>
      <c r="BC13" s="108" t="s">
        <v>828</v>
      </c>
      <c r="BD13" s="108" t="s">
        <v>829</v>
      </c>
      <c r="BE13" s="108" t="s">
        <v>830</v>
      </c>
      <c r="BF13" s="108" t="s">
        <v>828</v>
      </c>
      <c r="BG13" s="108" t="s">
        <v>829</v>
      </c>
      <c r="BH13" s="108" t="s">
        <v>830</v>
      </c>
      <c r="BI13" s="108" t="s">
        <v>828</v>
      </c>
      <c r="BJ13" s="108" t="s">
        <v>829</v>
      </c>
      <c r="BK13" s="108" t="s">
        <v>830</v>
      </c>
      <c r="BL13" s="108" t="s">
        <v>828</v>
      </c>
      <c r="BM13" s="108" t="s">
        <v>829</v>
      </c>
      <c r="BN13" s="108" t="s">
        <v>830</v>
      </c>
      <c r="BO13" s="108" t="s">
        <v>828</v>
      </c>
      <c r="BP13" s="108" t="s">
        <v>829</v>
      </c>
      <c r="BQ13" s="108" t="s">
        <v>830</v>
      </c>
      <c r="BR13" s="108" t="s">
        <v>828</v>
      </c>
      <c r="BS13" s="108" t="s">
        <v>829</v>
      </c>
      <c r="BT13" s="108" t="s">
        <v>830</v>
      </c>
      <c r="BU13" s="108" t="s">
        <v>828</v>
      </c>
      <c r="BV13" s="108" t="s">
        <v>829</v>
      </c>
      <c r="BW13" s="108" t="s">
        <v>830</v>
      </c>
      <c r="BX13" s="108" t="s">
        <v>828</v>
      </c>
      <c r="BY13" s="108" t="s">
        <v>829</v>
      </c>
      <c r="BZ13" s="108" t="s">
        <v>830</v>
      </c>
      <c r="CA13" s="108" t="s">
        <v>828</v>
      </c>
      <c r="CB13" s="108" t="s">
        <v>829</v>
      </c>
      <c r="CC13" s="108" t="s">
        <v>830</v>
      </c>
      <c r="CD13" s="108" t="s">
        <v>828</v>
      </c>
      <c r="CE13" s="108" t="s">
        <v>829</v>
      </c>
      <c r="CF13" s="108" t="s">
        <v>830</v>
      </c>
      <c r="CG13" s="108" t="s">
        <v>828</v>
      </c>
      <c r="CH13" s="108" t="s">
        <v>829</v>
      </c>
      <c r="CI13" s="108" t="s">
        <v>830</v>
      </c>
      <c r="CJ13" s="108" t="s">
        <v>828</v>
      </c>
      <c r="CK13" s="108" t="s">
        <v>829</v>
      </c>
      <c r="CL13" s="108" t="s">
        <v>830</v>
      </c>
      <c r="CM13" s="108" t="s">
        <v>828</v>
      </c>
      <c r="CN13" s="108" t="s">
        <v>829</v>
      </c>
      <c r="CO13" s="108" t="s">
        <v>830</v>
      </c>
      <c r="CP13" s="108" t="s">
        <v>828</v>
      </c>
      <c r="CQ13" s="108" t="s">
        <v>829</v>
      </c>
      <c r="CR13" s="108" t="s">
        <v>830</v>
      </c>
      <c r="CS13" s="108" t="s">
        <v>828</v>
      </c>
      <c r="CT13" s="108" t="s">
        <v>829</v>
      </c>
      <c r="CU13" s="108" t="s">
        <v>830</v>
      </c>
      <c r="CV13" s="108" t="s">
        <v>828</v>
      </c>
      <c r="CW13" s="108" t="s">
        <v>829</v>
      </c>
      <c r="CX13" s="108" t="s">
        <v>830</v>
      </c>
      <c r="CY13" s="108" t="s">
        <v>828</v>
      </c>
      <c r="CZ13" s="108" t="s">
        <v>829</v>
      </c>
      <c r="DA13" s="108" t="s">
        <v>830</v>
      </c>
      <c r="DB13" s="108" t="s">
        <v>828</v>
      </c>
      <c r="DC13" s="108" t="s">
        <v>829</v>
      </c>
      <c r="DD13" s="108" t="s">
        <v>830</v>
      </c>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t="s">
        <v>828</v>
      </c>
      <c r="FB13" s="108" t="s">
        <v>829</v>
      </c>
      <c r="FC13" s="108" t="s">
        <v>830</v>
      </c>
      <c r="FD13" s="108" t="s">
        <v>828</v>
      </c>
      <c r="FE13" s="108" t="s">
        <v>829</v>
      </c>
      <c r="FF13" s="108" t="s">
        <v>830</v>
      </c>
      <c r="FG13" s="108" t="s">
        <v>828</v>
      </c>
      <c r="FH13" s="108" t="s">
        <v>829</v>
      </c>
      <c r="FI13" s="108" t="s">
        <v>830</v>
      </c>
      <c r="FJ13" s="108" t="s">
        <v>828</v>
      </c>
      <c r="FK13" s="108" t="s">
        <v>829</v>
      </c>
      <c r="FL13" s="108" t="s">
        <v>830</v>
      </c>
      <c r="FM13" s="108" t="s">
        <v>828</v>
      </c>
      <c r="FN13" s="108" t="s">
        <v>829</v>
      </c>
      <c r="FO13" s="108" t="s">
        <v>830</v>
      </c>
      <c r="FP13" s="108" t="s">
        <v>828</v>
      </c>
      <c r="FQ13" s="108" t="s">
        <v>829</v>
      </c>
      <c r="FR13" s="108" t="s">
        <v>830</v>
      </c>
      <c r="FS13" s="108" t="s">
        <v>828</v>
      </c>
      <c r="FT13" s="108" t="s">
        <v>829</v>
      </c>
      <c r="FU13" s="108" t="s">
        <v>830</v>
      </c>
      <c r="FV13" s="108" t="s">
        <v>828</v>
      </c>
      <c r="FW13" s="108" t="s">
        <v>829</v>
      </c>
      <c r="FX13" s="108" t="s">
        <v>830</v>
      </c>
      <c r="FY13" s="108" t="s">
        <v>828</v>
      </c>
      <c r="FZ13" s="108" t="s">
        <v>829</v>
      </c>
      <c r="GA13" s="108" t="s">
        <v>830</v>
      </c>
      <c r="GB13" s="108" t="s">
        <v>828</v>
      </c>
      <c r="GC13" s="108" t="s">
        <v>829</v>
      </c>
      <c r="GD13" s="108" t="s">
        <v>830</v>
      </c>
      <c r="GE13" s="108" t="s">
        <v>828</v>
      </c>
      <c r="GF13" s="108" t="s">
        <v>829</v>
      </c>
      <c r="GG13" s="108" t="s">
        <v>830</v>
      </c>
      <c r="GH13" s="108" t="s">
        <v>828</v>
      </c>
      <c r="GI13" s="108" t="s">
        <v>829</v>
      </c>
      <c r="GJ13" s="108" t="s">
        <v>830</v>
      </c>
      <c r="GK13" s="108" t="s">
        <v>828</v>
      </c>
      <c r="GL13" s="108" t="s">
        <v>829</v>
      </c>
      <c r="GM13" s="108" t="s">
        <v>830</v>
      </c>
      <c r="GN13" s="108" t="s">
        <v>828</v>
      </c>
      <c r="GO13" s="108" t="s">
        <v>829</v>
      </c>
      <c r="GP13" s="108" t="s">
        <v>830</v>
      </c>
      <c r="GQ13" s="108" t="s">
        <v>828</v>
      </c>
      <c r="GR13" s="108" t="s">
        <v>829</v>
      </c>
      <c r="GS13" s="108" t="s">
        <v>830</v>
      </c>
      <c r="GT13" s="108" t="s">
        <v>828</v>
      </c>
      <c r="GU13" s="108" t="s">
        <v>829</v>
      </c>
      <c r="GV13" s="108" t="s">
        <v>830</v>
      </c>
      <c r="GW13" s="108" t="s">
        <v>828</v>
      </c>
      <c r="GX13" s="108" t="s">
        <v>829</v>
      </c>
      <c r="GY13" s="108" t="s">
        <v>830</v>
      </c>
      <c r="GZ13" s="108" t="s">
        <v>828</v>
      </c>
      <c r="HA13" s="108" t="s">
        <v>829</v>
      </c>
      <c r="HB13" s="108" t="s">
        <v>830</v>
      </c>
      <c r="HC13" s="108" t="s">
        <v>828</v>
      </c>
      <c r="HD13" s="108" t="s">
        <v>829</v>
      </c>
      <c r="HE13" s="108" t="s">
        <v>830</v>
      </c>
      <c r="HF13" s="108" t="s">
        <v>828</v>
      </c>
      <c r="HG13" s="108" t="s">
        <v>829</v>
      </c>
      <c r="HH13" s="108" t="s">
        <v>830</v>
      </c>
      <c r="HI13" s="108" t="s">
        <v>828</v>
      </c>
      <c r="HJ13" s="108" t="s">
        <v>829</v>
      </c>
      <c r="HK13" s="108" t="s">
        <v>830</v>
      </c>
      <c r="HL13" s="108" t="s">
        <v>828</v>
      </c>
      <c r="HM13" s="108" t="s">
        <v>829</v>
      </c>
      <c r="HN13" s="108" t="s">
        <v>830</v>
      </c>
      <c r="HO13" s="108" t="s">
        <v>828</v>
      </c>
      <c r="HP13" s="108" t="s">
        <v>829</v>
      </c>
      <c r="HQ13" s="108" t="s">
        <v>830</v>
      </c>
      <c r="HR13" s="108" t="s">
        <v>828</v>
      </c>
      <c r="HS13" s="108" t="s">
        <v>829</v>
      </c>
      <c r="HT13" s="108" t="s">
        <v>830</v>
      </c>
      <c r="HU13" s="108" t="s">
        <v>828</v>
      </c>
      <c r="HV13" s="108" t="s">
        <v>829</v>
      </c>
      <c r="HW13" s="108" t="s">
        <v>830</v>
      </c>
      <c r="HX13" s="108" t="s">
        <v>828</v>
      </c>
      <c r="HY13" s="108" t="s">
        <v>829</v>
      </c>
      <c r="HZ13" s="108" t="s">
        <v>830</v>
      </c>
      <c r="IA13" s="108" t="s">
        <v>828</v>
      </c>
      <c r="IB13" s="108" t="s">
        <v>829</v>
      </c>
      <c r="IC13" s="108" t="s">
        <v>830</v>
      </c>
      <c r="ID13" s="108" t="s">
        <v>828</v>
      </c>
      <c r="IE13" s="108" t="s">
        <v>829</v>
      </c>
      <c r="IF13" s="108" t="s">
        <v>830</v>
      </c>
      <c r="IG13" s="108" t="s">
        <v>828</v>
      </c>
      <c r="IH13" s="108" t="s">
        <v>829</v>
      </c>
      <c r="II13" s="108" t="s">
        <v>830</v>
      </c>
      <c r="IJ13" s="108" t="s">
        <v>828</v>
      </c>
      <c r="IK13" s="108" t="s">
        <v>829</v>
      </c>
      <c r="IL13" s="108" t="s">
        <v>830</v>
      </c>
      <c r="IM13" s="108" t="s">
        <v>828</v>
      </c>
      <c r="IN13" s="108" t="s">
        <v>829</v>
      </c>
      <c r="IO13" s="108" t="s">
        <v>830</v>
      </c>
      <c r="IP13" s="108" t="s">
        <v>828</v>
      </c>
      <c r="IQ13" s="108" t="s">
        <v>829</v>
      </c>
      <c r="IR13" s="108" t="s">
        <v>830</v>
      </c>
      <c r="IS13" s="108" t="s">
        <v>828</v>
      </c>
      <c r="IT13" s="108" t="s">
        <v>829</v>
      </c>
      <c r="IU13" s="108" t="s">
        <v>830</v>
      </c>
      <c r="IV13" s="108" t="s">
        <v>828</v>
      </c>
      <c r="IW13" s="108" t="s">
        <v>829</v>
      </c>
      <c r="IX13" s="108" t="s">
        <v>830</v>
      </c>
      <c r="IY13" s="108" t="s">
        <v>828</v>
      </c>
      <c r="IZ13" s="108" t="s">
        <v>829</v>
      </c>
      <c r="JA13" s="108" t="s">
        <v>830</v>
      </c>
      <c r="JB13" s="108" t="s">
        <v>828</v>
      </c>
      <c r="JC13" s="108" t="s">
        <v>829</v>
      </c>
      <c r="JD13" s="108" t="s">
        <v>830</v>
      </c>
      <c r="JE13" s="108" t="s">
        <v>828</v>
      </c>
      <c r="JF13" s="108" t="s">
        <v>829</v>
      </c>
      <c r="JG13" s="108" t="s">
        <v>830</v>
      </c>
      <c r="JH13" s="108" t="s">
        <v>828</v>
      </c>
      <c r="JI13" s="108" t="s">
        <v>829</v>
      </c>
      <c r="JJ13" s="108" t="s">
        <v>830</v>
      </c>
      <c r="JK13" s="108" t="s">
        <v>828</v>
      </c>
      <c r="JL13" s="108" t="s">
        <v>829</v>
      </c>
      <c r="JM13" s="108" t="s">
        <v>830</v>
      </c>
      <c r="JN13" s="108"/>
      <c r="JO13" s="108"/>
      <c r="JP13" s="108"/>
      <c r="JQ13" s="108"/>
      <c r="JR13" s="108"/>
      <c r="JS13" s="108"/>
      <c r="JT13" s="108"/>
      <c r="JU13" s="108"/>
      <c r="JV13" s="108"/>
      <c r="JW13" s="108"/>
      <c r="JX13" s="108"/>
      <c r="JY13" s="108"/>
      <c r="JZ13" s="108"/>
      <c r="KA13" s="108"/>
      <c r="KB13" s="108"/>
      <c r="KC13" s="108"/>
      <c r="KD13" s="108"/>
      <c r="KE13" s="108"/>
      <c r="KF13" s="108"/>
      <c r="KG13" s="108"/>
      <c r="KH13" s="108"/>
      <c r="KI13" s="108"/>
      <c r="KJ13" s="108"/>
      <c r="KK13" s="108"/>
      <c r="KL13" s="108"/>
      <c r="KM13" s="108"/>
      <c r="KN13" s="108"/>
      <c r="KO13" s="108"/>
      <c r="KP13" s="108"/>
      <c r="KQ13" s="108"/>
      <c r="KR13" s="108"/>
      <c r="KS13" s="108"/>
      <c r="KT13" s="108"/>
      <c r="KU13" s="108"/>
      <c r="KV13" s="108"/>
      <c r="KW13" s="108"/>
      <c r="KX13" s="108"/>
      <c r="KY13" s="108"/>
      <c r="KZ13" s="108"/>
      <c r="LA13" s="108"/>
      <c r="LB13" s="108"/>
      <c r="LC13" s="108" t="s">
        <v>828</v>
      </c>
      <c r="LD13" s="108" t="s">
        <v>829</v>
      </c>
      <c r="LE13" s="108" t="s">
        <v>830</v>
      </c>
      <c r="LF13" s="108" t="s">
        <v>828</v>
      </c>
      <c r="LG13" s="108" t="s">
        <v>829</v>
      </c>
      <c r="LH13" s="108" t="s">
        <v>830</v>
      </c>
      <c r="LI13" s="108" t="s">
        <v>828</v>
      </c>
      <c r="LJ13" s="108" t="s">
        <v>829</v>
      </c>
      <c r="LK13" s="108" t="s">
        <v>830</v>
      </c>
      <c r="LL13" s="109" t="s">
        <v>828</v>
      </c>
      <c r="LM13" s="108" t="s">
        <v>829</v>
      </c>
      <c r="LN13" s="108" t="s">
        <v>830</v>
      </c>
      <c r="LO13" s="108" t="s">
        <v>828</v>
      </c>
      <c r="LP13" s="108" t="s">
        <v>829</v>
      </c>
      <c r="LQ13" s="108" t="s">
        <v>830</v>
      </c>
      <c r="LR13" s="108" t="s">
        <v>828</v>
      </c>
      <c r="LS13" s="108" t="s">
        <v>829</v>
      </c>
      <c r="LT13" s="108" t="s">
        <v>830</v>
      </c>
      <c r="LU13" s="108"/>
      <c r="LV13" s="108"/>
      <c r="LW13" s="108"/>
      <c r="LX13" s="108"/>
      <c r="LY13" s="108"/>
      <c r="LZ13" s="108"/>
      <c r="MA13" s="108"/>
      <c r="MB13" s="108"/>
      <c r="MC13" s="108"/>
      <c r="MD13" s="108"/>
      <c r="ME13" s="108"/>
      <c r="MF13" s="108"/>
      <c r="MG13" s="108"/>
      <c r="MH13" s="108"/>
      <c r="MI13" s="108"/>
      <c r="MJ13" s="108"/>
      <c r="MK13" s="108"/>
      <c r="ML13" s="108"/>
      <c r="MM13" s="108"/>
      <c r="MN13" s="108"/>
      <c r="MO13" s="108"/>
      <c r="MP13" s="108"/>
      <c r="MQ13" s="109" t="s">
        <v>828</v>
      </c>
      <c r="MR13" s="108" t="s">
        <v>829</v>
      </c>
      <c r="MS13" s="108" t="s">
        <v>830</v>
      </c>
      <c r="MT13" s="108" t="s">
        <v>828</v>
      </c>
      <c r="MU13" s="108" t="s">
        <v>829</v>
      </c>
      <c r="MV13" s="108" t="s">
        <v>830</v>
      </c>
      <c r="MW13" s="108" t="s">
        <v>828</v>
      </c>
      <c r="MX13" s="108" t="s">
        <v>829</v>
      </c>
      <c r="MY13" s="108" t="s">
        <v>830</v>
      </c>
      <c r="MZ13" s="108"/>
      <c r="NA13" s="108"/>
      <c r="NB13" s="108"/>
      <c r="NC13" s="108"/>
      <c r="ND13" s="108"/>
      <c r="NE13" s="108"/>
      <c r="NF13" s="108"/>
      <c r="NG13" s="108"/>
      <c r="NH13" s="108"/>
      <c r="NI13" s="108"/>
      <c r="NJ13" s="108"/>
      <c r="NK13" s="108"/>
      <c r="NL13" s="108"/>
      <c r="NM13" s="108"/>
      <c r="NN13" s="108"/>
      <c r="NO13" s="108"/>
      <c r="NP13" s="108"/>
      <c r="NQ13" s="108"/>
      <c r="NR13" s="108"/>
      <c r="NS13" s="108"/>
      <c r="NT13" s="108"/>
      <c r="NU13" s="108"/>
      <c r="NV13" s="108" t="s">
        <v>828</v>
      </c>
      <c r="NW13" s="108" t="s">
        <v>828</v>
      </c>
      <c r="NX13" s="108" t="s">
        <v>829</v>
      </c>
      <c r="NY13" s="108" t="s">
        <v>830</v>
      </c>
      <c r="NZ13" s="108" t="s">
        <v>828</v>
      </c>
      <c r="OA13" s="108" t="s">
        <v>829</v>
      </c>
      <c r="OB13" s="108" t="s">
        <v>830</v>
      </c>
      <c r="OC13" s="108" t="s">
        <v>828</v>
      </c>
      <c r="OD13" s="108" t="s">
        <v>829</v>
      </c>
      <c r="OE13" s="108" t="s">
        <v>830</v>
      </c>
      <c r="OF13" s="108"/>
      <c r="OG13" s="108"/>
      <c r="OH13" s="108"/>
    </row>
    <row r="14" spans="1:398" ht="40.4" hidden="1" customHeight="1" x14ac:dyDescent="0.35">
      <c r="A14" s="106"/>
      <c r="B14" s="102"/>
      <c r="C14" s="102"/>
      <c r="D14" s="102"/>
      <c r="E14" s="102"/>
      <c r="F14" s="102"/>
      <c r="G14" s="102"/>
      <c r="H14" s="178" t="s">
        <v>831</v>
      </c>
      <c r="I14" s="107"/>
      <c r="J14" s="108"/>
      <c r="K14" s="108"/>
      <c r="L14" s="109"/>
      <c r="M14" s="108"/>
      <c r="N14" s="108"/>
      <c r="O14" s="109"/>
      <c r="P14" s="108"/>
      <c r="Q14" s="108"/>
      <c r="R14" s="109"/>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108"/>
      <c r="CI14" s="108"/>
      <c r="CJ14" s="108"/>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08"/>
      <c r="GJ14" s="108"/>
      <c r="GK14" s="108"/>
      <c r="GL14" s="108"/>
      <c r="GM14" s="108"/>
      <c r="GN14" s="108"/>
      <c r="GO14" s="108"/>
      <c r="GP14" s="108"/>
      <c r="GQ14" s="108"/>
      <c r="GR14" s="108"/>
      <c r="GS14" s="108"/>
      <c r="GT14" s="108"/>
      <c r="GU14" s="108"/>
      <c r="GV14" s="108"/>
      <c r="GW14" s="108"/>
      <c r="GX14" s="108"/>
      <c r="GY14" s="108"/>
      <c r="GZ14" s="108"/>
      <c r="HA14" s="108"/>
      <c r="HB14" s="108"/>
      <c r="HC14" s="108"/>
      <c r="HD14" s="108"/>
      <c r="HE14" s="108"/>
      <c r="HF14" s="108"/>
      <c r="HG14" s="108"/>
      <c r="HH14" s="108"/>
      <c r="HI14" s="108"/>
      <c r="HJ14" s="108"/>
      <c r="HK14" s="108"/>
      <c r="HL14" s="108"/>
      <c r="HM14" s="108"/>
      <c r="HN14" s="108"/>
      <c r="HO14" s="108"/>
      <c r="HP14" s="108"/>
      <c r="HQ14" s="108"/>
      <c r="HR14" s="108"/>
      <c r="HS14" s="108"/>
      <c r="HT14" s="108"/>
      <c r="HU14" s="108"/>
      <c r="HV14" s="108"/>
      <c r="HW14" s="108"/>
      <c r="HX14" s="108"/>
      <c r="HY14" s="108"/>
      <c r="HZ14" s="108"/>
      <c r="IA14" s="108"/>
      <c r="IB14" s="108"/>
      <c r="IC14" s="108"/>
      <c r="ID14" s="108"/>
      <c r="IE14" s="108"/>
      <c r="IF14" s="108"/>
      <c r="IG14" s="108"/>
      <c r="IH14" s="108"/>
      <c r="II14" s="108"/>
      <c r="IJ14" s="108"/>
      <c r="IK14" s="108"/>
      <c r="IL14" s="108"/>
      <c r="IM14" s="108"/>
      <c r="IN14" s="108"/>
      <c r="IO14" s="108"/>
      <c r="IP14" s="108"/>
      <c r="IQ14" s="108"/>
      <c r="IR14" s="108"/>
      <c r="IS14" s="108"/>
      <c r="IT14" s="108"/>
      <c r="IU14" s="108"/>
      <c r="IV14" s="108"/>
      <c r="IW14" s="108"/>
      <c r="IX14" s="108"/>
      <c r="IY14" s="108"/>
      <c r="IZ14" s="108"/>
      <c r="JA14" s="108"/>
      <c r="JB14" s="108"/>
      <c r="JC14" s="108"/>
      <c r="JD14" s="108"/>
      <c r="JE14" s="108"/>
      <c r="JF14" s="108"/>
      <c r="JG14" s="108"/>
      <c r="JH14" s="108"/>
      <c r="JI14" s="108"/>
      <c r="JJ14" s="108"/>
      <c r="JK14" s="108"/>
      <c r="JL14" s="108"/>
      <c r="JM14" s="108"/>
      <c r="JN14" s="108" t="s">
        <v>832</v>
      </c>
      <c r="JO14" s="108" t="s">
        <v>832</v>
      </c>
      <c r="JP14" s="108" t="s">
        <v>832</v>
      </c>
      <c r="JQ14" s="108" t="s">
        <v>833</v>
      </c>
      <c r="JR14" s="108" t="s">
        <v>833</v>
      </c>
      <c r="JS14" s="108" t="s">
        <v>833</v>
      </c>
      <c r="JT14" s="108" t="s">
        <v>832</v>
      </c>
      <c r="JU14" s="108" t="s">
        <v>832</v>
      </c>
      <c r="JV14" s="108" t="s">
        <v>832</v>
      </c>
      <c r="JW14" s="108" t="s">
        <v>833</v>
      </c>
      <c r="JX14" s="108" t="s">
        <v>833</v>
      </c>
      <c r="JY14" s="108" t="s">
        <v>833</v>
      </c>
      <c r="JZ14" s="108" t="s">
        <v>834</v>
      </c>
      <c r="KA14" s="108" t="s">
        <v>835</v>
      </c>
      <c r="KB14" s="108" t="s">
        <v>836</v>
      </c>
      <c r="KC14" s="108" t="s">
        <v>837</v>
      </c>
      <c r="KD14" s="108" t="s">
        <v>838</v>
      </c>
      <c r="KE14" s="108" t="s">
        <v>839</v>
      </c>
      <c r="KF14" s="108" t="s">
        <v>840</v>
      </c>
      <c r="KG14" s="108" t="s">
        <v>839</v>
      </c>
      <c r="KH14" s="108" t="s">
        <v>840</v>
      </c>
      <c r="KI14" s="108" t="s">
        <v>839</v>
      </c>
      <c r="KJ14" s="108" t="s">
        <v>840</v>
      </c>
      <c r="KK14" s="108" t="s">
        <v>841</v>
      </c>
      <c r="KL14" s="108" t="s">
        <v>842</v>
      </c>
      <c r="KM14" s="108" t="s">
        <v>843</v>
      </c>
      <c r="KN14" s="108" t="s">
        <v>841</v>
      </c>
      <c r="KO14" s="108" t="s">
        <v>842</v>
      </c>
      <c r="KP14" s="108" t="s">
        <v>843</v>
      </c>
      <c r="KQ14" s="108" t="s">
        <v>841</v>
      </c>
      <c r="KR14" s="108" t="s">
        <v>842</v>
      </c>
      <c r="KS14" s="108" t="s">
        <v>843</v>
      </c>
      <c r="KT14" s="108" t="s">
        <v>841</v>
      </c>
      <c r="KU14" s="108" t="s">
        <v>842</v>
      </c>
      <c r="KV14" s="108" t="s">
        <v>843</v>
      </c>
      <c r="KW14" s="108" t="s">
        <v>841</v>
      </c>
      <c r="KX14" s="108" t="s">
        <v>842</v>
      </c>
      <c r="KY14" s="108" t="s">
        <v>843</v>
      </c>
      <c r="KZ14" s="108" t="s">
        <v>841</v>
      </c>
      <c r="LA14" s="108" t="s">
        <v>842</v>
      </c>
      <c r="LB14" s="108" t="s">
        <v>843</v>
      </c>
      <c r="LC14" s="108"/>
      <c r="LD14" s="108"/>
      <c r="LE14" s="108"/>
      <c r="LF14" s="108"/>
      <c r="LG14" s="108"/>
      <c r="LH14" s="108"/>
      <c r="LI14" s="108"/>
      <c r="LJ14" s="108"/>
      <c r="LK14" s="108"/>
      <c r="LL14" s="109"/>
      <c r="LM14" s="108"/>
      <c r="LN14" s="108"/>
      <c r="LO14" s="108"/>
      <c r="LP14" s="108"/>
      <c r="LQ14" s="108"/>
      <c r="LR14" s="108"/>
      <c r="LS14" s="108"/>
      <c r="LT14" s="108"/>
      <c r="LU14" s="108"/>
      <c r="LV14" s="108"/>
      <c r="LW14" s="108"/>
      <c r="LX14" s="108"/>
      <c r="LY14" s="108"/>
      <c r="LZ14" s="108"/>
      <c r="MA14" s="108"/>
      <c r="MB14" s="108"/>
      <c r="MC14" s="108"/>
      <c r="MD14" s="108"/>
      <c r="ME14" s="108"/>
      <c r="MF14" s="108"/>
      <c r="MG14" s="108"/>
      <c r="MH14" s="108"/>
      <c r="MI14" s="108"/>
      <c r="MJ14" s="108"/>
      <c r="MK14" s="108"/>
      <c r="ML14" s="108"/>
      <c r="MM14" s="108"/>
      <c r="MN14" s="108"/>
      <c r="MO14" s="108"/>
      <c r="MP14" s="108"/>
      <c r="MQ14" s="109"/>
      <c r="MR14" s="108"/>
      <c r="MS14" s="108"/>
      <c r="MT14" s="108"/>
      <c r="MU14" s="108"/>
      <c r="MV14" s="108"/>
      <c r="MW14" s="108"/>
      <c r="MX14" s="108"/>
      <c r="MY14" s="108"/>
      <c r="MZ14" s="108"/>
      <c r="NA14" s="108"/>
      <c r="NB14" s="108"/>
      <c r="NC14" s="108"/>
      <c r="ND14" s="108"/>
      <c r="NE14" s="108"/>
      <c r="NF14" s="108"/>
      <c r="NG14" s="108"/>
      <c r="NH14" s="108"/>
      <c r="NI14" s="108"/>
      <c r="NJ14" s="108"/>
      <c r="NK14" s="108"/>
      <c r="NL14" s="108"/>
      <c r="NM14" s="108"/>
      <c r="NN14" s="108"/>
      <c r="NO14" s="108"/>
      <c r="NP14" s="108"/>
      <c r="NQ14" s="108"/>
      <c r="NR14" s="108"/>
      <c r="NS14" s="108"/>
      <c r="NT14" s="108"/>
      <c r="NU14" s="108"/>
      <c r="NV14" s="108"/>
      <c r="NW14" s="108"/>
      <c r="NX14" s="108"/>
      <c r="NY14" s="108"/>
      <c r="NZ14" s="108"/>
      <c r="OA14" s="108"/>
      <c r="OB14" s="108"/>
      <c r="OC14" s="108"/>
      <c r="OD14" s="108"/>
      <c r="OE14" s="108"/>
      <c r="OF14" s="108"/>
      <c r="OG14" s="108"/>
      <c r="OH14" s="108"/>
    </row>
    <row r="15" spans="1:398" ht="40.4" hidden="1" customHeight="1" x14ac:dyDescent="0.35">
      <c r="A15" s="106"/>
      <c r="B15" s="102"/>
      <c r="C15" s="102"/>
      <c r="D15" s="102"/>
      <c r="E15" s="102"/>
      <c r="F15" s="102"/>
      <c r="G15" s="102"/>
      <c r="H15" s="178" t="s">
        <v>844</v>
      </c>
      <c r="I15" s="107"/>
      <c r="J15" s="108"/>
      <c r="K15" s="108"/>
      <c r="L15" s="109"/>
      <c r="M15" s="108"/>
      <c r="N15" s="108"/>
      <c r="O15" s="109"/>
      <c r="P15" s="108"/>
      <c r="Q15" s="108"/>
      <c r="R15" s="109"/>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08"/>
      <c r="GJ15" s="108"/>
      <c r="GK15" s="108"/>
      <c r="GL15" s="108"/>
      <c r="GM15" s="108"/>
      <c r="GN15" s="108"/>
      <c r="GO15" s="108"/>
      <c r="GP15" s="108"/>
      <c r="GQ15" s="108"/>
      <c r="GR15" s="108"/>
      <c r="GS15" s="108"/>
      <c r="GT15" s="108"/>
      <c r="GU15" s="108"/>
      <c r="GV15" s="108"/>
      <c r="GW15" s="108"/>
      <c r="GX15" s="108"/>
      <c r="GY15" s="108"/>
      <c r="GZ15" s="108"/>
      <c r="HA15" s="108"/>
      <c r="HB15" s="108"/>
      <c r="HC15" s="108"/>
      <c r="HD15" s="108"/>
      <c r="HE15" s="108"/>
      <c r="HF15" s="108"/>
      <c r="HG15" s="108"/>
      <c r="HH15" s="108"/>
      <c r="HI15" s="108"/>
      <c r="HJ15" s="108"/>
      <c r="HK15" s="108"/>
      <c r="HL15" s="108"/>
      <c r="HM15" s="108"/>
      <c r="HN15" s="108"/>
      <c r="HO15" s="108"/>
      <c r="HP15" s="108"/>
      <c r="HQ15" s="108"/>
      <c r="HR15" s="108"/>
      <c r="HS15" s="108"/>
      <c r="HT15" s="108"/>
      <c r="HU15" s="108"/>
      <c r="HV15" s="108"/>
      <c r="HW15" s="108"/>
      <c r="HX15" s="108"/>
      <c r="HY15" s="108"/>
      <c r="HZ15" s="108"/>
      <c r="IA15" s="108"/>
      <c r="IB15" s="108"/>
      <c r="IC15" s="108"/>
      <c r="ID15" s="108"/>
      <c r="IE15" s="108"/>
      <c r="IF15" s="108"/>
      <c r="IG15" s="108"/>
      <c r="IH15" s="108"/>
      <c r="II15" s="108"/>
      <c r="IJ15" s="108"/>
      <c r="IK15" s="108"/>
      <c r="IL15" s="108"/>
      <c r="IM15" s="108"/>
      <c r="IN15" s="108"/>
      <c r="IO15" s="108"/>
      <c r="IP15" s="108"/>
      <c r="IQ15" s="108"/>
      <c r="IR15" s="108"/>
      <c r="IS15" s="108"/>
      <c r="IT15" s="108"/>
      <c r="IU15" s="108"/>
      <c r="IV15" s="108"/>
      <c r="IW15" s="108"/>
      <c r="IX15" s="108"/>
      <c r="IY15" s="108"/>
      <c r="IZ15" s="108"/>
      <c r="JA15" s="108"/>
      <c r="JB15" s="108"/>
      <c r="JC15" s="108"/>
      <c r="JD15" s="108"/>
      <c r="JE15" s="108"/>
      <c r="JF15" s="108"/>
      <c r="JG15" s="108"/>
      <c r="JH15" s="108"/>
      <c r="JI15" s="108"/>
      <c r="JJ15" s="108"/>
      <c r="JK15" s="108"/>
      <c r="JL15" s="108"/>
      <c r="JM15" s="108"/>
      <c r="JN15" s="108" t="s">
        <v>845</v>
      </c>
      <c r="JO15" s="108" t="s">
        <v>846</v>
      </c>
      <c r="JP15" s="108" t="s">
        <v>847</v>
      </c>
      <c r="JQ15" s="108" t="s">
        <v>845</v>
      </c>
      <c r="JR15" s="108" t="s">
        <v>846</v>
      </c>
      <c r="JS15" s="108" t="s">
        <v>847</v>
      </c>
      <c r="JT15" s="108" t="s">
        <v>845</v>
      </c>
      <c r="JU15" s="108" t="s">
        <v>846</v>
      </c>
      <c r="JV15" s="108" t="s">
        <v>847</v>
      </c>
      <c r="JW15" s="108" t="s">
        <v>845</v>
      </c>
      <c r="JX15" s="108" t="s">
        <v>846</v>
      </c>
      <c r="JY15" s="108" t="s">
        <v>847</v>
      </c>
      <c r="JZ15" s="108"/>
      <c r="KA15" s="108"/>
      <c r="KB15" s="108"/>
      <c r="KC15" s="108"/>
      <c r="KD15" s="108"/>
      <c r="KE15" s="108"/>
      <c r="KF15" s="108"/>
      <c r="KG15" s="108"/>
      <c r="KH15" s="108"/>
      <c r="KI15" s="108"/>
      <c r="KJ15" s="108"/>
      <c r="KK15" s="108"/>
      <c r="KL15" s="108"/>
      <c r="KM15" s="108"/>
      <c r="KN15" s="108"/>
      <c r="KO15" s="108"/>
      <c r="KP15" s="108"/>
      <c r="KQ15" s="108"/>
      <c r="KR15" s="108"/>
      <c r="KS15" s="108"/>
      <c r="KT15" s="108"/>
      <c r="KU15" s="108"/>
      <c r="KV15" s="108"/>
      <c r="KW15" s="108"/>
      <c r="KX15" s="108"/>
      <c r="KY15" s="108"/>
      <c r="KZ15" s="108"/>
      <c r="LA15" s="108"/>
      <c r="LB15" s="108"/>
      <c r="LC15" s="108"/>
      <c r="LD15" s="108"/>
      <c r="LE15" s="108"/>
      <c r="LF15" s="108"/>
      <c r="LG15" s="108"/>
      <c r="LH15" s="108"/>
      <c r="LI15" s="108"/>
      <c r="LJ15" s="108"/>
      <c r="LK15" s="108"/>
      <c r="LL15" s="109"/>
      <c r="LM15" s="108"/>
      <c r="LN15" s="108"/>
      <c r="LO15" s="108"/>
      <c r="LP15" s="108"/>
      <c r="LQ15" s="108"/>
      <c r="LR15" s="108"/>
      <c r="LS15" s="108"/>
      <c r="LT15" s="108"/>
      <c r="LU15" s="108"/>
      <c r="LV15" s="108"/>
      <c r="LW15" s="108"/>
      <c r="LX15" s="108"/>
      <c r="LY15" s="108"/>
      <c r="LZ15" s="108"/>
      <c r="MA15" s="108"/>
      <c r="MB15" s="108"/>
      <c r="MC15" s="108"/>
      <c r="MD15" s="108"/>
      <c r="ME15" s="108"/>
      <c r="MF15" s="108"/>
      <c r="MG15" s="108"/>
      <c r="MH15" s="108"/>
      <c r="MI15" s="108"/>
      <c r="MJ15" s="108"/>
      <c r="MK15" s="108"/>
      <c r="ML15" s="108"/>
      <c r="MM15" s="108"/>
      <c r="MN15" s="108"/>
      <c r="MO15" s="108"/>
      <c r="MP15" s="108"/>
      <c r="MQ15" s="109"/>
      <c r="MR15" s="108"/>
      <c r="MS15" s="108"/>
      <c r="MT15" s="108"/>
      <c r="MU15" s="108"/>
      <c r="MV15" s="108"/>
      <c r="MW15" s="108"/>
      <c r="MX15" s="108"/>
      <c r="MY15" s="108"/>
      <c r="MZ15" s="108"/>
      <c r="NA15" s="108"/>
      <c r="NB15" s="108"/>
      <c r="NC15" s="108"/>
      <c r="ND15" s="108"/>
      <c r="NE15" s="108"/>
      <c r="NF15" s="108"/>
      <c r="NG15" s="108"/>
      <c r="NH15" s="108"/>
      <c r="NI15" s="108"/>
      <c r="NJ15" s="108"/>
      <c r="NK15" s="108"/>
      <c r="NL15" s="108"/>
      <c r="NM15" s="108"/>
      <c r="NN15" s="108"/>
      <c r="NO15" s="108"/>
      <c r="NP15" s="108"/>
      <c r="NQ15" s="108"/>
      <c r="NR15" s="108"/>
      <c r="NS15" s="108"/>
      <c r="NT15" s="108"/>
      <c r="NU15" s="108"/>
      <c r="NV15" s="108"/>
      <c r="NW15" s="108"/>
      <c r="NX15" s="108"/>
      <c r="NY15" s="108"/>
      <c r="NZ15" s="108"/>
      <c r="OA15" s="108"/>
      <c r="OB15" s="108"/>
      <c r="OC15" s="108"/>
      <c r="OD15" s="108"/>
      <c r="OE15" s="108"/>
      <c r="OF15" s="108"/>
      <c r="OG15" s="108"/>
      <c r="OH15" s="108"/>
    </row>
    <row r="16" spans="1:398" ht="40.4" hidden="1" customHeight="1" x14ac:dyDescent="0.35">
      <c r="A16" s="106"/>
      <c r="B16" s="102"/>
      <c r="C16" s="102"/>
      <c r="D16" s="102"/>
      <c r="E16" s="102"/>
      <c r="F16" s="102"/>
      <c r="G16" s="102"/>
      <c r="H16" s="178" t="s">
        <v>848</v>
      </c>
      <c r="I16" s="107"/>
      <c r="J16" s="108"/>
      <c r="K16" s="108"/>
      <c r="L16" s="109"/>
      <c r="M16" s="108"/>
      <c r="N16" s="108"/>
      <c r="O16" s="109"/>
      <c r="P16" s="108"/>
      <c r="Q16" s="108"/>
      <c r="R16" s="109"/>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c r="CB16" s="108"/>
      <c r="CC16" s="108"/>
      <c r="CD16" s="108"/>
      <c r="CE16" s="108"/>
      <c r="CF16" s="108"/>
      <c r="CG16" s="108"/>
      <c r="CH16" s="108"/>
      <c r="CI16" s="108"/>
      <c r="CJ16" s="108"/>
      <c r="CK16" s="108"/>
      <c r="CL16" s="108"/>
      <c r="CM16" s="108"/>
      <c r="CN16" s="108"/>
      <c r="CO16" s="108"/>
      <c r="CP16" s="108"/>
      <c r="CQ16" s="108"/>
      <c r="CR16" s="108"/>
      <c r="CS16" s="108"/>
      <c r="CT16" s="108"/>
      <c r="CU16" s="108"/>
      <c r="CV16" s="108"/>
      <c r="CW16" s="108"/>
      <c r="CX16" s="108"/>
      <c r="CY16" s="108"/>
      <c r="CZ16" s="108"/>
      <c r="DA16" s="108"/>
      <c r="DB16" s="108"/>
      <c r="DC16" s="108"/>
      <c r="DD16" s="108"/>
      <c r="DE16" s="108" t="s">
        <v>849</v>
      </c>
      <c r="DF16" s="108" t="s">
        <v>850</v>
      </c>
      <c r="DG16" s="108" t="s">
        <v>851</v>
      </c>
      <c r="DH16" s="108" t="s">
        <v>852</v>
      </c>
      <c r="DI16" s="108" t="s">
        <v>853</v>
      </c>
      <c r="DJ16" s="108" t="s">
        <v>854</v>
      </c>
      <c r="DK16" s="108" t="s">
        <v>855</v>
      </c>
      <c r="DL16" s="108" t="s">
        <v>856</v>
      </c>
      <c r="DM16" s="108" t="s">
        <v>857</v>
      </c>
      <c r="DN16" s="108" t="s">
        <v>858</v>
      </c>
      <c r="DO16" s="108" t="s">
        <v>859</v>
      </c>
      <c r="DP16" s="108" t="s">
        <v>860</v>
      </c>
      <c r="DQ16" s="108" t="s">
        <v>861</v>
      </c>
      <c r="DR16" s="108" t="s">
        <v>862</v>
      </c>
      <c r="DS16" s="108" t="s">
        <v>863</v>
      </c>
      <c r="DT16" s="108" t="s">
        <v>864</v>
      </c>
      <c r="DU16" s="108" t="s">
        <v>865</v>
      </c>
      <c r="DV16" s="108" t="s">
        <v>866</v>
      </c>
      <c r="DW16" s="108" t="s">
        <v>867</v>
      </c>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08"/>
      <c r="GJ16" s="108"/>
      <c r="GK16" s="108"/>
      <c r="GL16" s="108"/>
      <c r="GM16" s="108"/>
      <c r="GN16" s="108"/>
      <c r="GO16" s="108"/>
      <c r="GP16" s="108"/>
      <c r="GQ16" s="108"/>
      <c r="GR16" s="108"/>
      <c r="GS16" s="108"/>
      <c r="GT16" s="108"/>
      <c r="GU16" s="108"/>
      <c r="GV16" s="108"/>
      <c r="GW16" s="108"/>
      <c r="GX16" s="108"/>
      <c r="GY16" s="108"/>
      <c r="GZ16" s="108"/>
      <c r="HA16" s="108"/>
      <c r="HB16" s="108"/>
      <c r="HC16" s="108"/>
      <c r="HD16" s="108"/>
      <c r="HE16" s="108"/>
      <c r="HF16" s="108"/>
      <c r="HG16" s="108"/>
      <c r="HH16" s="108"/>
      <c r="HI16" s="108"/>
      <c r="HJ16" s="108"/>
      <c r="HK16" s="108"/>
      <c r="HL16" s="108"/>
      <c r="HM16" s="108"/>
      <c r="HN16" s="108"/>
      <c r="HO16" s="108"/>
      <c r="HP16" s="108"/>
      <c r="HQ16" s="108"/>
      <c r="HR16" s="108"/>
      <c r="HS16" s="108"/>
      <c r="HT16" s="108"/>
      <c r="HU16" s="108"/>
      <c r="HV16" s="108"/>
      <c r="HW16" s="108"/>
      <c r="HX16" s="108"/>
      <c r="HY16" s="108"/>
      <c r="HZ16" s="108"/>
      <c r="IA16" s="108"/>
      <c r="IB16" s="108"/>
      <c r="IC16" s="108"/>
      <c r="ID16" s="108"/>
      <c r="IE16" s="108"/>
      <c r="IF16" s="108"/>
      <c r="IG16" s="108"/>
      <c r="IH16" s="108"/>
      <c r="II16" s="108"/>
      <c r="IJ16" s="108"/>
      <c r="IK16" s="108"/>
      <c r="IL16" s="108"/>
      <c r="IM16" s="108"/>
      <c r="IN16" s="108"/>
      <c r="IO16" s="108"/>
      <c r="IP16" s="108"/>
      <c r="IQ16" s="108"/>
      <c r="IR16" s="108"/>
      <c r="IS16" s="108"/>
      <c r="IT16" s="108"/>
      <c r="IU16" s="108"/>
      <c r="IV16" s="108"/>
      <c r="IW16" s="108"/>
      <c r="IX16" s="108"/>
      <c r="IY16" s="108"/>
      <c r="IZ16" s="108"/>
      <c r="JA16" s="108"/>
      <c r="JB16" s="108"/>
      <c r="JC16" s="108"/>
      <c r="JD16" s="108"/>
      <c r="JE16" s="108"/>
      <c r="JF16" s="108"/>
      <c r="JG16" s="108"/>
      <c r="JH16" s="108"/>
      <c r="JI16" s="108"/>
      <c r="JJ16" s="108"/>
      <c r="JK16" s="108"/>
      <c r="JL16" s="108"/>
      <c r="JM16" s="108"/>
      <c r="JN16" s="108"/>
      <c r="JO16" s="108"/>
      <c r="JP16" s="108"/>
      <c r="JQ16" s="108"/>
      <c r="JR16" s="108"/>
      <c r="JS16" s="108"/>
      <c r="JT16" s="108"/>
      <c r="JU16" s="108"/>
      <c r="JV16" s="108"/>
      <c r="JW16" s="108"/>
      <c r="JX16" s="108"/>
      <c r="JY16" s="108"/>
      <c r="JZ16" s="108"/>
      <c r="KA16" s="108"/>
      <c r="KB16" s="108"/>
      <c r="KC16" s="108"/>
      <c r="KD16" s="108"/>
      <c r="KE16" s="108"/>
      <c r="KF16" s="108"/>
      <c r="KG16" s="108"/>
      <c r="KH16" s="108"/>
      <c r="KI16" s="108"/>
      <c r="KJ16" s="108"/>
      <c r="KK16" s="108"/>
      <c r="KL16" s="108"/>
      <c r="KM16" s="108"/>
      <c r="KN16" s="108"/>
      <c r="KO16" s="108"/>
      <c r="KP16" s="108"/>
      <c r="KQ16" s="108"/>
      <c r="KR16" s="108"/>
      <c r="KS16" s="108"/>
      <c r="KT16" s="108"/>
      <c r="KU16" s="108"/>
      <c r="KV16" s="108"/>
      <c r="KW16" s="108"/>
      <c r="KX16" s="108"/>
      <c r="KY16" s="108"/>
      <c r="KZ16" s="108"/>
      <c r="LA16" s="108"/>
      <c r="LB16" s="108"/>
      <c r="LC16" s="108"/>
      <c r="LD16" s="108"/>
      <c r="LE16" s="108"/>
      <c r="LF16" s="108"/>
      <c r="LG16" s="108"/>
      <c r="LH16" s="108"/>
      <c r="LI16" s="108"/>
      <c r="LJ16" s="108"/>
      <c r="LK16" s="108"/>
      <c r="LL16" s="109"/>
      <c r="LM16" s="108"/>
      <c r="LN16" s="108"/>
      <c r="LO16" s="108"/>
      <c r="LP16" s="108"/>
      <c r="LQ16" s="108"/>
      <c r="LR16" s="108"/>
      <c r="LS16" s="108"/>
      <c r="LT16" s="108"/>
      <c r="LU16" s="108"/>
      <c r="LV16" s="108"/>
      <c r="LW16" s="108"/>
      <c r="LX16" s="108"/>
      <c r="LY16" s="108"/>
      <c r="LZ16" s="108"/>
      <c r="MA16" s="108"/>
      <c r="MB16" s="108"/>
      <c r="MC16" s="108"/>
      <c r="MD16" s="108"/>
      <c r="ME16" s="108"/>
      <c r="MF16" s="108"/>
      <c r="MG16" s="108"/>
      <c r="MH16" s="108"/>
      <c r="MI16" s="108"/>
      <c r="MJ16" s="108"/>
      <c r="MK16" s="108"/>
      <c r="ML16" s="108"/>
      <c r="MM16" s="108"/>
      <c r="MN16" s="108"/>
      <c r="MO16" s="108"/>
      <c r="MP16" s="108"/>
      <c r="MQ16" s="109"/>
      <c r="MR16" s="108"/>
      <c r="MS16" s="108"/>
      <c r="MT16" s="108"/>
      <c r="MU16" s="108"/>
      <c r="MV16" s="108"/>
      <c r="MW16" s="108"/>
      <c r="MX16" s="108"/>
      <c r="MY16" s="108"/>
      <c r="MZ16" s="108"/>
      <c r="NA16" s="108"/>
      <c r="NB16" s="108"/>
      <c r="NC16" s="108"/>
      <c r="ND16" s="108"/>
      <c r="NE16" s="108"/>
      <c r="NF16" s="108"/>
      <c r="NG16" s="108"/>
      <c r="NH16" s="108"/>
      <c r="NI16" s="108"/>
      <c r="NJ16" s="108"/>
      <c r="NK16" s="108"/>
      <c r="NL16" s="108"/>
      <c r="NM16" s="108"/>
      <c r="NN16" s="108"/>
      <c r="NO16" s="108"/>
      <c r="NP16" s="108"/>
      <c r="NQ16" s="108"/>
      <c r="NR16" s="108"/>
      <c r="NS16" s="108"/>
      <c r="NT16" s="108"/>
      <c r="NU16" s="108"/>
      <c r="NV16" s="108"/>
      <c r="NW16" s="108"/>
      <c r="NX16" s="108"/>
      <c r="NY16" s="108"/>
      <c r="NZ16" s="108"/>
      <c r="OA16" s="108"/>
      <c r="OB16" s="108"/>
      <c r="OC16" s="108"/>
      <c r="OD16" s="108"/>
      <c r="OE16" s="108"/>
      <c r="OF16" s="108"/>
      <c r="OG16" s="108"/>
      <c r="OH16" s="108"/>
    </row>
    <row r="17" spans="1:398" ht="40.4" hidden="1" customHeight="1" x14ac:dyDescent="0.35">
      <c r="A17" s="106"/>
      <c r="B17" s="102"/>
      <c r="C17" s="102"/>
      <c r="D17" s="102"/>
      <c r="E17" s="102"/>
      <c r="F17" s="102"/>
      <c r="G17" s="102"/>
      <c r="H17" s="178" t="s">
        <v>868</v>
      </c>
      <c r="I17" s="107"/>
      <c r="J17" s="108"/>
      <c r="K17" s="108"/>
      <c r="L17" s="109"/>
      <c r="M17" s="108"/>
      <c r="N17" s="108"/>
      <c r="O17" s="109"/>
      <c r="P17" s="108"/>
      <c r="Q17" s="108"/>
      <c r="R17" s="109"/>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8"/>
      <c r="CD17" s="108"/>
      <c r="CE17" s="108"/>
      <c r="CF17" s="108"/>
      <c r="CG17" s="108"/>
      <c r="CH17" s="108"/>
      <c r="CI17" s="108"/>
      <c r="CJ17" s="108"/>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t="s">
        <v>869</v>
      </c>
      <c r="EW17" s="108" t="s">
        <v>870</v>
      </c>
      <c r="EX17" s="108" t="s">
        <v>871</v>
      </c>
      <c r="EY17" s="108" t="s">
        <v>872</v>
      </c>
      <c r="EZ17" s="108" t="s">
        <v>873</v>
      </c>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08"/>
      <c r="GJ17" s="108"/>
      <c r="GK17" s="108"/>
      <c r="GL17" s="108"/>
      <c r="GM17" s="108"/>
      <c r="GN17" s="108"/>
      <c r="GO17" s="108"/>
      <c r="GP17" s="108"/>
      <c r="GQ17" s="108"/>
      <c r="GR17" s="108"/>
      <c r="GS17" s="108"/>
      <c r="GT17" s="108"/>
      <c r="GU17" s="108"/>
      <c r="GV17" s="108"/>
      <c r="GW17" s="108"/>
      <c r="GX17" s="108"/>
      <c r="GY17" s="108"/>
      <c r="GZ17" s="108"/>
      <c r="HA17" s="108"/>
      <c r="HB17" s="108"/>
      <c r="HC17" s="108"/>
      <c r="HD17" s="108"/>
      <c r="HE17" s="108"/>
      <c r="HF17" s="108"/>
      <c r="HG17" s="108"/>
      <c r="HH17" s="108"/>
      <c r="HI17" s="108"/>
      <c r="HJ17" s="108"/>
      <c r="HK17" s="108"/>
      <c r="HL17" s="108"/>
      <c r="HM17" s="108"/>
      <c r="HN17" s="108"/>
      <c r="HO17" s="108"/>
      <c r="HP17" s="108"/>
      <c r="HQ17" s="108"/>
      <c r="HR17" s="108"/>
      <c r="HS17" s="108"/>
      <c r="HT17" s="108"/>
      <c r="HU17" s="108"/>
      <c r="HV17" s="108"/>
      <c r="HW17" s="108"/>
      <c r="HX17" s="108"/>
      <c r="HY17" s="108"/>
      <c r="HZ17" s="108"/>
      <c r="IA17" s="108"/>
      <c r="IB17" s="108"/>
      <c r="IC17" s="108"/>
      <c r="ID17" s="108"/>
      <c r="IE17" s="108"/>
      <c r="IF17" s="108"/>
      <c r="IG17" s="108"/>
      <c r="IH17" s="108"/>
      <c r="II17" s="108"/>
      <c r="IJ17" s="108"/>
      <c r="IK17" s="108"/>
      <c r="IL17" s="108"/>
      <c r="IM17" s="108"/>
      <c r="IN17" s="108"/>
      <c r="IO17" s="108"/>
      <c r="IP17" s="108"/>
      <c r="IQ17" s="108"/>
      <c r="IR17" s="108"/>
      <c r="IS17" s="108"/>
      <c r="IT17" s="108"/>
      <c r="IU17" s="108"/>
      <c r="IV17" s="108"/>
      <c r="IW17" s="108"/>
      <c r="IX17" s="108"/>
      <c r="IY17" s="108"/>
      <c r="IZ17" s="108"/>
      <c r="JA17" s="108"/>
      <c r="JB17" s="108"/>
      <c r="JC17" s="108"/>
      <c r="JD17" s="108"/>
      <c r="JE17" s="108"/>
      <c r="JF17" s="108"/>
      <c r="JG17" s="108"/>
      <c r="JH17" s="108"/>
      <c r="JI17" s="108"/>
      <c r="JJ17" s="108"/>
      <c r="JK17" s="108"/>
      <c r="JL17" s="108"/>
      <c r="JM17" s="108"/>
      <c r="JN17" s="108"/>
      <c r="JO17" s="108"/>
      <c r="JP17" s="108"/>
      <c r="JQ17" s="108"/>
      <c r="JR17" s="108"/>
      <c r="JS17" s="108"/>
      <c r="JT17" s="108"/>
      <c r="JU17" s="108"/>
      <c r="JV17" s="108"/>
      <c r="JW17" s="108"/>
      <c r="JX17" s="108"/>
      <c r="JY17" s="108"/>
      <c r="JZ17" s="108"/>
      <c r="KA17" s="108"/>
      <c r="KB17" s="108"/>
      <c r="KC17" s="108"/>
      <c r="KD17" s="108"/>
      <c r="KE17" s="108"/>
      <c r="KF17" s="108"/>
      <c r="KG17" s="108"/>
      <c r="KH17" s="108"/>
      <c r="KI17" s="108"/>
      <c r="KJ17" s="108"/>
      <c r="KK17" s="108"/>
      <c r="KL17" s="108"/>
      <c r="KM17" s="108"/>
      <c r="KN17" s="108"/>
      <c r="KO17" s="108"/>
      <c r="KP17" s="108"/>
      <c r="KQ17" s="108"/>
      <c r="KR17" s="108"/>
      <c r="KS17" s="108"/>
      <c r="KT17" s="108"/>
      <c r="KU17" s="108"/>
      <c r="KV17" s="108"/>
      <c r="KW17" s="108"/>
      <c r="KX17" s="108"/>
      <c r="KY17" s="108"/>
      <c r="KZ17" s="108"/>
      <c r="LA17" s="108"/>
      <c r="LB17" s="108"/>
      <c r="LC17" s="108"/>
      <c r="LD17" s="108"/>
      <c r="LE17" s="108"/>
      <c r="LF17" s="108"/>
      <c r="LG17" s="108"/>
      <c r="LH17" s="108"/>
      <c r="LI17" s="108"/>
      <c r="LJ17" s="108"/>
      <c r="LK17" s="108"/>
      <c r="LL17" s="109"/>
      <c r="LM17" s="108"/>
      <c r="LN17" s="108"/>
      <c r="LO17" s="108"/>
      <c r="LP17" s="108"/>
      <c r="LQ17" s="108"/>
      <c r="LR17" s="108"/>
      <c r="LS17" s="108"/>
      <c r="LT17" s="108"/>
      <c r="LU17" s="108"/>
      <c r="LV17" s="108"/>
      <c r="LW17" s="108"/>
      <c r="LX17" s="108"/>
      <c r="LY17" s="108"/>
      <c r="LZ17" s="108"/>
      <c r="MA17" s="108"/>
      <c r="MB17" s="108"/>
      <c r="MC17" s="108"/>
      <c r="MD17" s="108"/>
      <c r="ME17" s="108"/>
      <c r="MF17" s="108"/>
      <c r="MG17" s="108"/>
      <c r="MH17" s="108"/>
      <c r="MI17" s="108"/>
      <c r="MJ17" s="108"/>
      <c r="MK17" s="108"/>
      <c r="ML17" s="108"/>
      <c r="MM17" s="108"/>
      <c r="MN17" s="108"/>
      <c r="MO17" s="108"/>
      <c r="MP17" s="108"/>
      <c r="MQ17" s="109"/>
      <c r="MR17" s="108"/>
      <c r="MS17" s="108"/>
      <c r="MT17" s="108"/>
      <c r="MU17" s="108"/>
      <c r="MV17" s="108"/>
      <c r="MW17" s="108"/>
      <c r="MX17" s="108"/>
      <c r="MY17" s="108"/>
      <c r="MZ17" s="108"/>
      <c r="NA17" s="108"/>
      <c r="NB17" s="108"/>
      <c r="NC17" s="108"/>
      <c r="ND17" s="108"/>
      <c r="NE17" s="108"/>
      <c r="NF17" s="108"/>
      <c r="NG17" s="108"/>
      <c r="NH17" s="108"/>
      <c r="NI17" s="108"/>
      <c r="NJ17" s="108"/>
      <c r="NK17" s="108"/>
      <c r="NL17" s="108"/>
      <c r="NM17" s="108"/>
      <c r="NN17" s="108"/>
      <c r="NO17" s="108"/>
      <c r="NP17" s="108"/>
      <c r="NQ17" s="108"/>
      <c r="NR17" s="108"/>
      <c r="NS17" s="108"/>
      <c r="NT17" s="108"/>
      <c r="NU17" s="108"/>
      <c r="NV17" s="108"/>
      <c r="NW17" s="108"/>
      <c r="NX17" s="108"/>
      <c r="NY17" s="108"/>
      <c r="NZ17" s="108"/>
      <c r="OA17" s="108"/>
      <c r="OB17" s="108"/>
      <c r="OC17" s="108"/>
      <c r="OD17" s="108"/>
      <c r="OE17" s="108"/>
      <c r="OF17" s="108"/>
      <c r="OG17" s="108"/>
      <c r="OH17" s="108"/>
    </row>
    <row r="18" spans="1:398" ht="40.4" hidden="1" customHeight="1" x14ac:dyDescent="0.35">
      <c r="A18" s="106"/>
      <c r="B18" s="102"/>
      <c r="C18" s="102"/>
      <c r="D18" s="102"/>
      <c r="E18" s="102"/>
      <c r="F18" s="102"/>
      <c r="G18" s="102"/>
      <c r="H18" s="178" t="s">
        <v>874</v>
      </c>
      <c r="I18" s="107"/>
      <c r="J18" s="108"/>
      <c r="K18" s="108"/>
      <c r="L18" s="109"/>
      <c r="M18" s="108"/>
      <c r="N18" s="108"/>
      <c r="O18" s="109"/>
      <c r="P18" s="108"/>
      <c r="Q18" s="108"/>
      <c r="R18" s="109"/>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108"/>
      <c r="BO18" s="108"/>
      <c r="BP18" s="108"/>
      <c r="BQ18" s="108"/>
      <c r="BR18" s="108"/>
      <c r="BS18" s="108"/>
      <c r="BT18" s="108"/>
      <c r="BU18" s="108"/>
      <c r="BV18" s="108"/>
      <c r="BW18" s="108"/>
      <c r="BX18" s="108"/>
      <c r="BY18" s="108"/>
      <c r="BZ18" s="108"/>
      <c r="CA18" s="108"/>
      <c r="CB18" s="108"/>
      <c r="CC18" s="108"/>
      <c r="CD18" s="108"/>
      <c r="CE18" s="108"/>
      <c r="CF18" s="108"/>
      <c r="CG18" s="108"/>
      <c r="CH18" s="108"/>
      <c r="CI18" s="108"/>
      <c r="CJ18" s="108"/>
      <c r="CK18" s="108"/>
      <c r="CL18" s="108"/>
      <c r="CM18" s="108"/>
      <c r="CN18" s="108"/>
      <c r="CO18" s="108"/>
      <c r="CP18" s="108"/>
      <c r="CQ18" s="108"/>
      <c r="CR18" s="108"/>
      <c r="CS18" s="108"/>
      <c r="CT18" s="108"/>
      <c r="CU18" s="108"/>
      <c r="CV18" s="108"/>
      <c r="CW18" s="108"/>
      <c r="CX18" s="108"/>
      <c r="CY18" s="108"/>
      <c r="CZ18" s="108"/>
      <c r="DA18" s="108"/>
      <c r="DB18" s="108"/>
      <c r="DC18" s="108"/>
      <c r="DD18" s="108"/>
      <c r="DE18" s="108"/>
      <c r="DF18" s="108"/>
      <c r="DG18" s="108"/>
      <c r="DH18" s="108"/>
      <c r="DI18" s="108"/>
      <c r="DJ18" s="108"/>
      <c r="DK18" s="108"/>
      <c r="DL18" s="108"/>
      <c r="DM18" s="108"/>
      <c r="DN18" s="108"/>
      <c r="DO18" s="108"/>
      <c r="DP18" s="108"/>
      <c r="DQ18" s="108"/>
      <c r="DR18" s="108"/>
      <c r="DS18" s="108"/>
      <c r="DT18" s="108"/>
      <c r="DU18" s="108"/>
      <c r="DV18" s="108"/>
      <c r="DW18" s="108"/>
      <c r="DX18" s="108"/>
      <c r="DY18" s="108"/>
      <c r="DZ18" s="108"/>
      <c r="EA18" s="108"/>
      <c r="EB18" s="108"/>
      <c r="EC18" s="108"/>
      <c r="ED18" s="108"/>
      <c r="EE18" s="108"/>
      <c r="EF18" s="108"/>
      <c r="EG18" s="108"/>
      <c r="EH18" s="108"/>
      <c r="EI18" s="108"/>
      <c r="EJ18" s="108"/>
      <c r="EK18" s="108"/>
      <c r="EL18" s="108"/>
      <c r="EM18" s="108" t="s">
        <v>875</v>
      </c>
      <c r="EN18" s="108" t="s">
        <v>876</v>
      </c>
      <c r="EO18" s="108" t="s">
        <v>877</v>
      </c>
      <c r="EP18" s="108" t="s">
        <v>878</v>
      </c>
      <c r="EQ18" s="108" t="s">
        <v>879</v>
      </c>
      <c r="ER18" s="108" t="s">
        <v>880</v>
      </c>
      <c r="ES18" s="108" t="s">
        <v>881</v>
      </c>
      <c r="ET18" s="108" t="s">
        <v>882</v>
      </c>
      <c r="EU18" s="108" t="s">
        <v>883</v>
      </c>
      <c r="EV18" s="108"/>
      <c r="EW18" s="108"/>
      <c r="EX18" s="108"/>
      <c r="EY18" s="108"/>
      <c r="EZ18" s="108"/>
      <c r="FA18" s="108"/>
      <c r="FB18" s="108"/>
      <c r="FC18" s="108"/>
      <c r="FD18" s="108"/>
      <c r="FE18" s="108"/>
      <c r="FF18" s="108"/>
      <c r="FG18" s="108"/>
      <c r="FH18" s="108"/>
      <c r="FI18" s="108"/>
      <c r="FJ18" s="108"/>
      <c r="FK18" s="108"/>
      <c r="FL18" s="108"/>
      <c r="FM18" s="108"/>
      <c r="FN18" s="108"/>
      <c r="FO18" s="108"/>
      <c r="FP18" s="108"/>
      <c r="FQ18" s="108"/>
      <c r="FR18" s="108"/>
      <c r="FS18" s="108"/>
      <c r="FT18" s="108"/>
      <c r="FU18" s="108"/>
      <c r="FV18" s="108"/>
      <c r="FW18" s="108"/>
      <c r="FX18" s="108"/>
      <c r="FY18" s="108"/>
      <c r="FZ18" s="108"/>
      <c r="GA18" s="108"/>
      <c r="GB18" s="108"/>
      <c r="GC18" s="108"/>
      <c r="GD18" s="108"/>
      <c r="GE18" s="108"/>
      <c r="GF18" s="108"/>
      <c r="GG18" s="108"/>
      <c r="GH18" s="108"/>
      <c r="GI18" s="108"/>
      <c r="GJ18" s="108"/>
      <c r="GK18" s="108"/>
      <c r="GL18" s="108"/>
      <c r="GM18" s="108"/>
      <c r="GN18" s="108"/>
      <c r="GO18" s="108"/>
      <c r="GP18" s="108"/>
      <c r="GQ18" s="108"/>
      <c r="GR18" s="108"/>
      <c r="GS18" s="108"/>
      <c r="GT18" s="108"/>
      <c r="GU18" s="108"/>
      <c r="GV18" s="108"/>
      <c r="GW18" s="108"/>
      <c r="GX18" s="108"/>
      <c r="GY18" s="108"/>
      <c r="GZ18" s="108"/>
      <c r="HA18" s="108"/>
      <c r="HB18" s="108"/>
      <c r="HC18" s="108"/>
      <c r="HD18" s="108"/>
      <c r="HE18" s="108"/>
      <c r="HF18" s="108"/>
      <c r="HG18" s="108"/>
      <c r="HH18" s="108"/>
      <c r="HI18" s="108"/>
      <c r="HJ18" s="108"/>
      <c r="HK18" s="108"/>
      <c r="HL18" s="108"/>
      <c r="HM18" s="108"/>
      <c r="HN18" s="108"/>
      <c r="HO18" s="108"/>
      <c r="HP18" s="108"/>
      <c r="HQ18" s="108"/>
      <c r="HR18" s="108"/>
      <c r="HS18" s="108"/>
      <c r="HT18" s="108"/>
      <c r="HU18" s="108"/>
      <c r="HV18" s="108"/>
      <c r="HW18" s="108"/>
      <c r="HX18" s="108"/>
      <c r="HY18" s="108"/>
      <c r="HZ18" s="108"/>
      <c r="IA18" s="108"/>
      <c r="IB18" s="108"/>
      <c r="IC18" s="108"/>
      <c r="ID18" s="108"/>
      <c r="IE18" s="108"/>
      <c r="IF18" s="108"/>
      <c r="IG18" s="108"/>
      <c r="IH18" s="108"/>
      <c r="II18" s="108"/>
      <c r="IJ18" s="108"/>
      <c r="IK18" s="108"/>
      <c r="IL18" s="108"/>
      <c r="IM18" s="108"/>
      <c r="IN18" s="108"/>
      <c r="IO18" s="108"/>
      <c r="IP18" s="108"/>
      <c r="IQ18" s="108"/>
      <c r="IR18" s="108"/>
      <c r="IS18" s="108"/>
      <c r="IT18" s="108"/>
      <c r="IU18" s="108"/>
      <c r="IV18" s="108"/>
      <c r="IW18" s="108"/>
      <c r="IX18" s="108"/>
      <c r="IY18" s="108"/>
      <c r="IZ18" s="108"/>
      <c r="JA18" s="108"/>
      <c r="JB18" s="108"/>
      <c r="JC18" s="108"/>
      <c r="JD18" s="108"/>
      <c r="JE18" s="108"/>
      <c r="JF18" s="108"/>
      <c r="JG18" s="108"/>
      <c r="JH18" s="108"/>
      <c r="JI18" s="108"/>
      <c r="JJ18" s="108"/>
      <c r="JK18" s="108"/>
      <c r="JL18" s="108"/>
      <c r="JM18" s="108"/>
      <c r="JN18" s="108"/>
      <c r="JO18" s="108"/>
      <c r="JP18" s="108"/>
      <c r="JQ18" s="108"/>
      <c r="JR18" s="108"/>
      <c r="JS18" s="108"/>
      <c r="JT18" s="108"/>
      <c r="JU18" s="108"/>
      <c r="JV18" s="108"/>
      <c r="JW18" s="108"/>
      <c r="JX18" s="108"/>
      <c r="JY18" s="108"/>
      <c r="JZ18" s="108"/>
      <c r="KA18" s="108"/>
      <c r="KB18" s="108"/>
      <c r="KC18" s="108"/>
      <c r="KD18" s="108"/>
      <c r="KE18" s="108"/>
      <c r="KF18" s="108"/>
      <c r="KG18" s="108"/>
      <c r="KH18" s="108"/>
      <c r="KI18" s="108"/>
      <c r="KJ18" s="108"/>
      <c r="KK18" s="108"/>
      <c r="KL18" s="108"/>
      <c r="KM18" s="108"/>
      <c r="KN18" s="108"/>
      <c r="KO18" s="108"/>
      <c r="KP18" s="108"/>
      <c r="KQ18" s="108"/>
      <c r="KR18" s="108"/>
      <c r="KS18" s="108"/>
      <c r="KT18" s="108"/>
      <c r="KU18" s="108"/>
      <c r="KV18" s="108"/>
      <c r="KW18" s="108"/>
      <c r="KX18" s="108"/>
      <c r="KY18" s="108"/>
      <c r="KZ18" s="108"/>
      <c r="LA18" s="108"/>
      <c r="LB18" s="108"/>
      <c r="LC18" s="108"/>
      <c r="LD18" s="108"/>
      <c r="LE18" s="108"/>
      <c r="LF18" s="108"/>
      <c r="LG18" s="108"/>
      <c r="LH18" s="108"/>
      <c r="LI18" s="108"/>
      <c r="LJ18" s="108"/>
      <c r="LK18" s="108"/>
      <c r="LL18" s="109"/>
      <c r="LM18" s="108"/>
      <c r="LN18" s="108"/>
      <c r="LO18" s="108"/>
      <c r="LP18" s="108"/>
      <c r="LQ18" s="108"/>
      <c r="LR18" s="108"/>
      <c r="LS18" s="108"/>
      <c r="LT18" s="108"/>
      <c r="LU18" s="108"/>
      <c r="LV18" s="108"/>
      <c r="LW18" s="108"/>
      <c r="LX18" s="108"/>
      <c r="LY18" s="108"/>
      <c r="LZ18" s="108"/>
      <c r="MA18" s="108"/>
      <c r="MB18" s="108"/>
      <c r="MC18" s="108"/>
      <c r="MD18" s="108"/>
      <c r="ME18" s="108"/>
      <c r="MF18" s="108"/>
      <c r="MG18" s="108"/>
      <c r="MH18" s="108"/>
      <c r="MI18" s="108"/>
      <c r="MJ18" s="108"/>
      <c r="MK18" s="108"/>
      <c r="ML18" s="108"/>
      <c r="MM18" s="108"/>
      <c r="MN18" s="108"/>
      <c r="MO18" s="108"/>
      <c r="MP18" s="108"/>
      <c r="MQ18" s="109"/>
      <c r="MR18" s="108"/>
      <c r="MS18" s="108"/>
      <c r="MT18" s="108"/>
      <c r="MU18" s="108"/>
      <c r="MV18" s="108"/>
      <c r="MW18" s="108"/>
      <c r="MX18" s="108"/>
      <c r="MY18" s="108"/>
      <c r="MZ18" s="108"/>
      <c r="NA18" s="108"/>
      <c r="NB18" s="108"/>
      <c r="NC18" s="108"/>
      <c r="ND18" s="108"/>
      <c r="NE18" s="108"/>
      <c r="NF18" s="108"/>
      <c r="NG18" s="108"/>
      <c r="NH18" s="108"/>
      <c r="NI18" s="108"/>
      <c r="NJ18" s="108"/>
      <c r="NK18" s="108"/>
      <c r="NL18" s="108"/>
      <c r="NM18" s="108"/>
      <c r="NN18" s="108"/>
      <c r="NO18" s="108"/>
      <c r="NP18" s="108"/>
      <c r="NQ18" s="108"/>
      <c r="NR18" s="108"/>
      <c r="NS18" s="108"/>
      <c r="NT18" s="108"/>
      <c r="NU18" s="108"/>
      <c r="NV18" s="108"/>
      <c r="NW18" s="108"/>
      <c r="NX18" s="108"/>
      <c r="NY18" s="108"/>
      <c r="NZ18" s="108"/>
      <c r="OA18" s="108"/>
      <c r="OB18" s="108"/>
      <c r="OC18" s="108"/>
      <c r="OD18" s="108"/>
      <c r="OE18" s="108"/>
      <c r="OF18" s="108"/>
      <c r="OG18" s="108"/>
      <c r="OH18" s="108"/>
    </row>
    <row r="19" spans="1:398" ht="29.5" x14ac:dyDescent="0.35">
      <c r="A19" s="102"/>
      <c r="B19" s="102"/>
      <c r="C19" s="102"/>
      <c r="D19" s="102"/>
      <c r="E19" s="102"/>
      <c r="F19" s="110" t="s">
        <v>884</v>
      </c>
      <c r="G19" s="103"/>
      <c r="H19" s="103"/>
      <c r="I19" s="194" t="s">
        <v>744</v>
      </c>
      <c r="J19" s="195"/>
      <c r="K19" s="195"/>
      <c r="L19" s="195"/>
      <c r="M19" s="195"/>
      <c r="N19" s="195"/>
      <c r="O19" s="196" t="s">
        <v>746</v>
      </c>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8"/>
      <c r="AZ19" s="199" t="s">
        <v>744</v>
      </c>
      <c r="BA19" s="199"/>
      <c r="BB19" s="199"/>
      <c r="BC19" s="199"/>
      <c r="BD19" s="199"/>
      <c r="BE19" s="199"/>
      <c r="BF19" s="199"/>
      <c r="BG19" s="199"/>
      <c r="BH19" s="199"/>
      <c r="BI19" s="199"/>
      <c r="BJ19" s="199"/>
      <c r="BK19" s="199"/>
      <c r="BL19" s="199"/>
      <c r="BM19" s="199"/>
      <c r="BN19" s="199"/>
      <c r="BO19" s="199"/>
      <c r="BP19" s="199"/>
      <c r="BQ19" s="199"/>
      <c r="BR19" s="199"/>
      <c r="BS19" s="199"/>
      <c r="BT19" s="199"/>
      <c r="BU19" s="199"/>
      <c r="BV19" s="199"/>
      <c r="BW19" s="199"/>
      <c r="BX19" s="199"/>
      <c r="BY19" s="199"/>
      <c r="BZ19" s="199"/>
      <c r="CA19" s="199"/>
      <c r="CB19" s="199"/>
      <c r="CC19" s="199"/>
      <c r="CD19" s="199"/>
      <c r="CE19" s="199"/>
      <c r="CF19" s="199"/>
      <c r="CG19" s="199"/>
      <c r="CH19" s="199"/>
      <c r="CI19" s="199"/>
      <c r="CJ19" s="199"/>
      <c r="CK19" s="199"/>
      <c r="CL19" s="199"/>
      <c r="CM19" s="199"/>
      <c r="CN19" s="199"/>
      <c r="CO19" s="199"/>
      <c r="CP19" s="199"/>
      <c r="CQ19" s="199"/>
      <c r="CR19" s="199"/>
      <c r="CS19" s="199"/>
      <c r="CT19" s="199"/>
      <c r="CU19" s="199"/>
      <c r="CV19" s="199"/>
      <c r="CW19" s="199"/>
      <c r="CX19" s="199"/>
      <c r="CY19" s="199"/>
      <c r="CZ19" s="199"/>
      <c r="DA19" s="199"/>
      <c r="DB19" s="199"/>
      <c r="DC19" s="199"/>
      <c r="DD19" s="199"/>
      <c r="DE19" s="199"/>
      <c r="DF19" s="199"/>
      <c r="DG19" s="199"/>
      <c r="DH19" s="199"/>
      <c r="DI19" s="199"/>
      <c r="DJ19" s="199"/>
      <c r="DK19" s="199"/>
      <c r="DL19" s="199"/>
      <c r="DM19" s="199"/>
      <c r="DN19" s="199"/>
      <c r="DO19" s="199"/>
      <c r="DP19" s="199"/>
      <c r="DQ19" s="199"/>
      <c r="DR19" s="199"/>
      <c r="DS19" s="199"/>
      <c r="DT19" s="199"/>
      <c r="DU19" s="199"/>
      <c r="DV19" s="199"/>
      <c r="DW19" s="199"/>
      <c r="DX19" s="199"/>
      <c r="DY19" s="199"/>
      <c r="DZ19" s="199"/>
      <c r="EA19" s="199"/>
      <c r="EB19" s="199"/>
      <c r="EC19" s="199"/>
      <c r="ED19" s="199"/>
      <c r="EE19" s="199"/>
      <c r="EF19" s="199"/>
      <c r="EG19" s="199"/>
      <c r="EH19" s="199"/>
      <c r="EI19" s="199"/>
      <c r="EJ19" s="199"/>
      <c r="EK19" s="199"/>
      <c r="EL19" s="199"/>
      <c r="EM19" s="199"/>
      <c r="EN19" s="199"/>
      <c r="EO19" s="199"/>
      <c r="EP19" s="199"/>
      <c r="EQ19" s="199"/>
      <c r="ER19" s="199"/>
      <c r="ES19" s="199"/>
      <c r="ET19" s="199"/>
      <c r="EU19" s="199"/>
      <c r="EV19" s="199"/>
      <c r="EW19" s="199"/>
      <c r="EX19" s="199"/>
      <c r="EY19" s="199"/>
      <c r="EZ19" s="199"/>
      <c r="FA19" s="199"/>
      <c r="FB19" s="199"/>
      <c r="FC19" s="199"/>
      <c r="FD19" s="199"/>
      <c r="FE19" s="199"/>
      <c r="FF19" s="199"/>
      <c r="FG19" s="199"/>
      <c r="FH19" s="199"/>
      <c r="FI19" s="199"/>
      <c r="FJ19" s="199"/>
      <c r="FK19" s="199"/>
      <c r="FL19" s="199"/>
      <c r="FM19" s="199"/>
      <c r="FN19" s="199"/>
      <c r="FO19" s="199"/>
      <c r="FP19" s="199"/>
      <c r="FQ19" s="199"/>
      <c r="FR19" s="199"/>
      <c r="FS19" s="199"/>
      <c r="FT19" s="199"/>
      <c r="FU19" s="199"/>
      <c r="FV19" s="199"/>
      <c r="FW19" s="199"/>
      <c r="FX19" s="199"/>
      <c r="FY19" s="199"/>
      <c r="FZ19" s="199"/>
      <c r="GA19" s="199"/>
      <c r="GB19" s="199"/>
      <c r="GC19" s="199"/>
      <c r="GD19" s="199"/>
      <c r="GE19" s="199"/>
      <c r="GF19" s="199"/>
      <c r="GG19" s="199"/>
      <c r="GH19" s="199"/>
      <c r="GI19" s="199"/>
      <c r="GJ19" s="199"/>
      <c r="GK19" s="199"/>
      <c r="GL19" s="199"/>
      <c r="GM19" s="199"/>
      <c r="GN19" s="199"/>
      <c r="GO19" s="199"/>
      <c r="GP19" s="199"/>
      <c r="GQ19" s="199"/>
      <c r="GR19" s="199"/>
      <c r="GS19" s="199"/>
      <c r="GT19" s="199"/>
      <c r="GU19" s="199"/>
      <c r="GV19" s="199"/>
      <c r="GW19" s="199"/>
      <c r="GX19" s="199"/>
      <c r="GY19" s="199"/>
      <c r="GZ19" s="199"/>
      <c r="HA19" s="199"/>
      <c r="HB19" s="199"/>
      <c r="HC19" s="199"/>
      <c r="HD19" s="199"/>
      <c r="HE19" s="199"/>
      <c r="HF19" s="199"/>
      <c r="HG19" s="199"/>
      <c r="HH19" s="199"/>
      <c r="HI19" s="199"/>
      <c r="HJ19" s="199"/>
      <c r="HK19" s="199"/>
      <c r="HL19" s="199"/>
      <c r="HM19" s="199"/>
      <c r="HN19" s="199"/>
      <c r="HO19" s="199"/>
      <c r="HP19" s="199"/>
      <c r="HQ19" s="199"/>
      <c r="HR19" s="199"/>
      <c r="HS19" s="199"/>
      <c r="HT19" s="199"/>
      <c r="HU19" s="199"/>
      <c r="HV19" s="199"/>
      <c r="HW19" s="199"/>
      <c r="HX19" s="199"/>
      <c r="HY19" s="199"/>
      <c r="HZ19" s="199"/>
      <c r="IA19" s="199"/>
      <c r="IB19" s="199"/>
      <c r="IC19" s="199"/>
      <c r="ID19" s="199"/>
      <c r="IE19" s="199"/>
      <c r="IF19" s="199"/>
      <c r="IG19" s="199"/>
      <c r="IH19" s="199"/>
      <c r="II19" s="199"/>
      <c r="IJ19" s="199"/>
      <c r="IK19" s="199"/>
      <c r="IL19" s="199"/>
      <c r="IM19" s="199"/>
      <c r="IN19" s="199"/>
      <c r="IO19" s="199"/>
      <c r="IP19" s="199"/>
      <c r="IQ19" s="199"/>
      <c r="IR19" s="199"/>
      <c r="IS19" s="199"/>
      <c r="IT19" s="199"/>
      <c r="IU19" s="199"/>
      <c r="IV19" s="199"/>
      <c r="IW19" s="199"/>
      <c r="IX19" s="199"/>
      <c r="IY19" s="199"/>
      <c r="IZ19" s="199"/>
      <c r="JA19" s="199"/>
      <c r="JB19" s="199"/>
      <c r="JC19" s="199"/>
      <c r="JD19" s="199"/>
      <c r="JE19" s="199"/>
      <c r="JF19" s="199"/>
      <c r="JG19" s="199"/>
      <c r="JH19" s="199"/>
      <c r="JI19" s="199"/>
      <c r="JJ19" s="199"/>
      <c r="JK19" s="199"/>
      <c r="JL19" s="199"/>
      <c r="JM19" s="199"/>
      <c r="JN19" s="199"/>
      <c r="JO19" s="199"/>
      <c r="JP19" s="199"/>
      <c r="JQ19" s="199"/>
      <c r="JR19" s="199"/>
      <c r="JS19" s="199"/>
      <c r="JT19" s="199"/>
      <c r="JU19" s="199"/>
      <c r="JV19" s="199"/>
      <c r="JW19" s="199"/>
      <c r="JX19" s="199"/>
      <c r="JY19" s="199"/>
      <c r="JZ19" s="199"/>
      <c r="KA19" s="199"/>
      <c r="KB19" s="199"/>
      <c r="KC19" s="199"/>
      <c r="KD19" s="199"/>
      <c r="KE19" s="199"/>
      <c r="KF19" s="199"/>
      <c r="KG19" s="199"/>
      <c r="KH19" s="199"/>
      <c r="KI19" s="199"/>
      <c r="KJ19" s="199"/>
      <c r="KK19" s="199"/>
      <c r="KL19" s="199"/>
      <c r="KM19" s="199"/>
      <c r="KN19" s="199"/>
      <c r="KO19" s="199"/>
      <c r="KP19" s="199"/>
      <c r="KQ19" s="199"/>
      <c r="KR19" s="199"/>
      <c r="KS19" s="199"/>
      <c r="KT19" s="199"/>
      <c r="KU19" s="199"/>
      <c r="KV19" s="199"/>
      <c r="KW19" s="199"/>
      <c r="KX19" s="199"/>
      <c r="KY19" s="199"/>
      <c r="KZ19" s="199"/>
      <c r="LA19" s="199"/>
      <c r="LB19" s="199"/>
      <c r="LC19" s="199"/>
      <c r="LD19" s="199"/>
      <c r="LE19" s="199"/>
      <c r="LF19" s="199"/>
      <c r="LG19" s="199"/>
      <c r="LH19" s="199"/>
      <c r="LI19" s="199"/>
      <c r="LJ19" s="199"/>
      <c r="LK19" s="199"/>
      <c r="LL19" s="199"/>
      <c r="LM19" s="199"/>
      <c r="LN19" s="199"/>
      <c r="LO19" s="199"/>
      <c r="LP19" s="199"/>
      <c r="LQ19" s="199"/>
      <c r="LR19" s="199"/>
      <c r="LS19" s="199"/>
      <c r="LT19" s="199"/>
      <c r="LU19" s="199"/>
      <c r="LV19" s="199"/>
      <c r="LW19" s="199"/>
      <c r="LX19" s="199"/>
      <c r="LY19" s="199"/>
      <c r="LZ19" s="199"/>
      <c r="MA19" s="199"/>
      <c r="MB19" s="199"/>
      <c r="MC19" s="199"/>
      <c r="MD19" s="199"/>
      <c r="ME19" s="199"/>
      <c r="MF19" s="199"/>
      <c r="MG19" s="199"/>
      <c r="MH19" s="199"/>
      <c r="MI19" s="199"/>
      <c r="MJ19" s="199"/>
      <c r="MK19" s="199"/>
      <c r="ML19" s="199"/>
      <c r="MM19" s="199"/>
      <c r="MN19" s="199"/>
      <c r="MO19" s="199"/>
      <c r="MP19" s="199"/>
      <c r="MQ19" s="199"/>
      <c r="MR19" s="199"/>
      <c r="MS19" s="199"/>
      <c r="MT19" s="199"/>
      <c r="MU19" s="199"/>
      <c r="MV19" s="199"/>
      <c r="MW19" s="199"/>
      <c r="MX19" s="199"/>
      <c r="MY19" s="199"/>
      <c r="MZ19" s="199"/>
      <c r="NA19" s="199"/>
      <c r="NB19" s="199"/>
      <c r="NC19" s="199"/>
      <c r="ND19" s="199"/>
      <c r="NE19" s="199"/>
      <c r="NF19" s="199"/>
      <c r="NG19" s="199"/>
      <c r="NH19" s="199"/>
      <c r="NI19" s="199"/>
      <c r="NJ19" s="199"/>
      <c r="NK19" s="199"/>
      <c r="NL19" s="199"/>
      <c r="NM19" s="199"/>
      <c r="NN19" s="199"/>
      <c r="NO19" s="199"/>
      <c r="NP19" s="199"/>
      <c r="NQ19" s="199"/>
      <c r="NR19" s="199"/>
      <c r="NS19" s="199"/>
      <c r="NT19" s="199"/>
      <c r="NU19" s="199"/>
      <c r="NV19" s="199"/>
      <c r="NW19" s="199"/>
      <c r="NX19" s="199"/>
      <c r="NY19" s="199"/>
      <c r="NZ19" s="199"/>
      <c r="OA19" s="199"/>
      <c r="OB19" s="199"/>
      <c r="OC19" s="199"/>
      <c r="OD19" s="199"/>
      <c r="OE19" s="199"/>
      <c r="OF19" s="199"/>
      <c r="OG19" s="199"/>
      <c r="OH19" s="199"/>
    </row>
    <row r="20" spans="1:398" x14ac:dyDescent="0.35">
      <c r="A20" s="102"/>
      <c r="B20" s="102"/>
      <c r="C20" s="102"/>
      <c r="D20" s="102"/>
      <c r="E20" s="102"/>
      <c r="F20" s="102"/>
      <c r="G20" s="103"/>
      <c r="H20" s="103"/>
      <c r="I20" s="200" t="s">
        <v>749</v>
      </c>
      <c r="J20" s="201"/>
      <c r="K20" s="201"/>
      <c r="L20" s="201"/>
      <c r="M20" s="201"/>
      <c r="N20" s="201"/>
      <c r="O20" s="202">
        <v>2027</v>
      </c>
      <c r="P20" s="203"/>
      <c r="Q20" s="203"/>
      <c r="R20" s="203"/>
      <c r="S20" s="203"/>
      <c r="T20" s="203"/>
      <c r="U20" s="203"/>
      <c r="V20" s="203"/>
      <c r="W20" s="203"/>
      <c r="X20" s="203"/>
      <c r="Y20" s="203"/>
      <c r="Z20" s="203"/>
      <c r="AA20" s="203"/>
      <c r="AB20" s="203"/>
      <c r="AC20" s="203"/>
      <c r="AD20" s="203"/>
      <c r="AE20" s="203"/>
      <c r="AF20" s="203"/>
      <c r="AG20" s="203"/>
      <c r="AH20" s="203"/>
      <c r="AI20" s="203"/>
      <c r="AJ20" s="203"/>
      <c r="AK20" s="203"/>
      <c r="AL20" s="203"/>
      <c r="AM20" s="203"/>
      <c r="AN20" s="203"/>
      <c r="AO20" s="203"/>
      <c r="AP20" s="203"/>
      <c r="AQ20" s="203"/>
      <c r="AR20" s="203"/>
      <c r="AS20" s="203"/>
      <c r="AT20" s="203"/>
      <c r="AU20" s="203"/>
      <c r="AV20" s="203"/>
      <c r="AW20" s="203"/>
      <c r="AX20" s="203"/>
      <c r="AY20" s="204"/>
      <c r="AZ20" s="205" t="s">
        <v>749</v>
      </c>
      <c r="BA20" s="205"/>
      <c r="BB20" s="205"/>
      <c r="BC20" s="205"/>
      <c r="BD20" s="205"/>
      <c r="BE20" s="205"/>
      <c r="BF20" s="205"/>
      <c r="BG20" s="205"/>
      <c r="BH20" s="205"/>
      <c r="BI20" s="205"/>
      <c r="BJ20" s="205"/>
      <c r="BK20" s="205"/>
      <c r="BL20" s="205"/>
      <c r="BM20" s="205"/>
      <c r="BN20" s="205"/>
      <c r="BO20" s="205"/>
      <c r="BP20" s="205"/>
      <c r="BQ20" s="205"/>
      <c r="BR20" s="205"/>
      <c r="BS20" s="205"/>
      <c r="BT20" s="205"/>
      <c r="BU20" s="205"/>
      <c r="BV20" s="205"/>
      <c r="BW20" s="205"/>
      <c r="BX20" s="205"/>
      <c r="BY20" s="205"/>
      <c r="BZ20" s="205"/>
      <c r="CA20" s="205"/>
      <c r="CB20" s="205"/>
      <c r="CC20" s="205"/>
      <c r="CD20" s="205"/>
      <c r="CE20" s="205"/>
      <c r="CF20" s="205"/>
      <c r="CG20" s="205"/>
      <c r="CH20" s="205"/>
      <c r="CI20" s="205"/>
      <c r="CJ20" s="205"/>
      <c r="CK20" s="205"/>
      <c r="CL20" s="205"/>
      <c r="CM20" s="205"/>
      <c r="CN20" s="205"/>
      <c r="CO20" s="205"/>
      <c r="CP20" s="205"/>
      <c r="CQ20" s="205"/>
      <c r="CR20" s="205"/>
      <c r="CS20" s="205"/>
      <c r="CT20" s="205"/>
      <c r="CU20" s="205"/>
      <c r="CV20" s="205"/>
      <c r="CW20" s="205"/>
      <c r="CX20" s="205"/>
      <c r="CY20" s="205"/>
      <c r="CZ20" s="205"/>
      <c r="DA20" s="205"/>
      <c r="DB20" s="205"/>
      <c r="DC20" s="205"/>
      <c r="DD20" s="205"/>
      <c r="DE20" s="205"/>
      <c r="DF20" s="205"/>
      <c r="DG20" s="205"/>
      <c r="DH20" s="205"/>
      <c r="DI20" s="205"/>
      <c r="DJ20" s="205"/>
      <c r="DK20" s="205"/>
      <c r="DL20" s="205"/>
      <c r="DM20" s="205"/>
      <c r="DN20" s="205"/>
      <c r="DO20" s="205"/>
      <c r="DP20" s="205"/>
      <c r="DQ20" s="205"/>
      <c r="DR20" s="205"/>
      <c r="DS20" s="205"/>
      <c r="DT20" s="205"/>
      <c r="DU20" s="205"/>
      <c r="DV20" s="205"/>
      <c r="DW20" s="205"/>
      <c r="DX20" s="205"/>
      <c r="DY20" s="205"/>
      <c r="DZ20" s="205"/>
      <c r="EA20" s="205"/>
      <c r="EB20" s="205"/>
      <c r="EC20" s="205"/>
      <c r="ED20" s="205"/>
      <c r="EE20" s="205"/>
      <c r="EF20" s="205"/>
      <c r="EG20" s="205"/>
      <c r="EH20" s="205"/>
      <c r="EI20" s="205"/>
      <c r="EJ20" s="205"/>
      <c r="EK20" s="205"/>
      <c r="EL20" s="205"/>
      <c r="EM20" s="205"/>
      <c r="EN20" s="205"/>
      <c r="EO20" s="205"/>
      <c r="EP20" s="205"/>
      <c r="EQ20" s="205"/>
      <c r="ER20" s="205"/>
      <c r="ES20" s="205"/>
      <c r="ET20" s="205"/>
      <c r="EU20" s="205"/>
      <c r="EV20" s="205"/>
      <c r="EW20" s="205"/>
      <c r="EX20" s="205"/>
      <c r="EY20" s="205"/>
      <c r="EZ20" s="205"/>
      <c r="FA20" s="205"/>
      <c r="FB20" s="205"/>
      <c r="FC20" s="205"/>
      <c r="FD20" s="205"/>
      <c r="FE20" s="205"/>
      <c r="FF20" s="205"/>
      <c r="FG20" s="205"/>
      <c r="FH20" s="205"/>
      <c r="FI20" s="205"/>
      <c r="FJ20" s="205"/>
      <c r="FK20" s="205"/>
      <c r="FL20" s="205"/>
      <c r="FM20" s="205"/>
      <c r="FN20" s="205"/>
      <c r="FO20" s="205"/>
      <c r="FP20" s="205"/>
      <c r="FQ20" s="205"/>
      <c r="FR20" s="205"/>
      <c r="FS20" s="205"/>
      <c r="FT20" s="205"/>
      <c r="FU20" s="205"/>
      <c r="FV20" s="205"/>
      <c r="FW20" s="205"/>
      <c r="FX20" s="205"/>
      <c r="FY20" s="205"/>
      <c r="FZ20" s="205"/>
      <c r="GA20" s="205"/>
      <c r="GB20" s="205"/>
      <c r="GC20" s="205"/>
      <c r="GD20" s="205"/>
      <c r="GE20" s="205"/>
      <c r="GF20" s="205"/>
      <c r="GG20" s="205"/>
      <c r="GH20" s="205"/>
      <c r="GI20" s="205"/>
      <c r="GJ20" s="205"/>
      <c r="GK20" s="205"/>
      <c r="GL20" s="205"/>
      <c r="GM20" s="205"/>
      <c r="GN20" s="205"/>
      <c r="GO20" s="205"/>
      <c r="GP20" s="205"/>
      <c r="GQ20" s="205"/>
      <c r="GR20" s="205"/>
      <c r="GS20" s="205"/>
      <c r="GT20" s="205"/>
      <c r="GU20" s="205"/>
      <c r="GV20" s="205"/>
      <c r="GW20" s="205"/>
      <c r="GX20" s="205"/>
      <c r="GY20" s="205"/>
      <c r="GZ20" s="205"/>
      <c r="HA20" s="205"/>
      <c r="HB20" s="205"/>
      <c r="HC20" s="205"/>
      <c r="HD20" s="205"/>
      <c r="HE20" s="205"/>
      <c r="HF20" s="205"/>
      <c r="HG20" s="205"/>
      <c r="HH20" s="205"/>
      <c r="HI20" s="205"/>
      <c r="HJ20" s="205"/>
      <c r="HK20" s="205"/>
      <c r="HL20" s="205"/>
      <c r="HM20" s="205"/>
      <c r="HN20" s="205"/>
      <c r="HO20" s="205"/>
      <c r="HP20" s="205"/>
      <c r="HQ20" s="205"/>
      <c r="HR20" s="205"/>
      <c r="HS20" s="205"/>
      <c r="HT20" s="205"/>
      <c r="HU20" s="205"/>
      <c r="HV20" s="205"/>
      <c r="HW20" s="205"/>
      <c r="HX20" s="205"/>
      <c r="HY20" s="205"/>
      <c r="HZ20" s="205"/>
      <c r="IA20" s="205"/>
      <c r="IB20" s="205"/>
      <c r="IC20" s="205"/>
      <c r="ID20" s="205"/>
      <c r="IE20" s="205"/>
      <c r="IF20" s="205"/>
      <c r="IG20" s="205"/>
      <c r="IH20" s="205"/>
      <c r="II20" s="205"/>
      <c r="IJ20" s="205"/>
      <c r="IK20" s="205"/>
      <c r="IL20" s="205"/>
      <c r="IM20" s="205"/>
      <c r="IN20" s="205"/>
      <c r="IO20" s="205"/>
      <c r="IP20" s="205"/>
      <c r="IQ20" s="205"/>
      <c r="IR20" s="205"/>
      <c r="IS20" s="205"/>
      <c r="IT20" s="205"/>
      <c r="IU20" s="205"/>
      <c r="IV20" s="205"/>
      <c r="IW20" s="205"/>
      <c r="IX20" s="205"/>
      <c r="IY20" s="205"/>
      <c r="IZ20" s="205"/>
      <c r="JA20" s="205"/>
      <c r="JB20" s="205"/>
      <c r="JC20" s="205"/>
      <c r="JD20" s="205"/>
      <c r="JE20" s="205"/>
      <c r="JF20" s="205"/>
      <c r="JG20" s="205"/>
      <c r="JH20" s="205"/>
      <c r="JI20" s="205"/>
      <c r="JJ20" s="205"/>
      <c r="JK20" s="205"/>
      <c r="JL20" s="205"/>
      <c r="JM20" s="205"/>
      <c r="JN20" s="205"/>
      <c r="JO20" s="205"/>
      <c r="JP20" s="205"/>
      <c r="JQ20" s="205"/>
      <c r="JR20" s="205"/>
      <c r="JS20" s="205"/>
      <c r="JT20" s="205"/>
      <c r="JU20" s="205"/>
      <c r="JV20" s="205"/>
      <c r="JW20" s="205"/>
      <c r="JX20" s="205"/>
      <c r="JY20" s="205"/>
      <c r="JZ20" s="205"/>
      <c r="KA20" s="205"/>
      <c r="KB20" s="205"/>
      <c r="KC20" s="205"/>
      <c r="KD20" s="205"/>
      <c r="KE20" s="205"/>
      <c r="KF20" s="205"/>
      <c r="KG20" s="205"/>
      <c r="KH20" s="205"/>
      <c r="KI20" s="205"/>
      <c r="KJ20" s="205"/>
      <c r="KK20" s="205"/>
      <c r="KL20" s="205"/>
      <c r="KM20" s="205"/>
      <c r="KN20" s="205"/>
      <c r="KO20" s="205"/>
      <c r="KP20" s="205"/>
      <c r="KQ20" s="205"/>
      <c r="KR20" s="205"/>
      <c r="KS20" s="205"/>
      <c r="KT20" s="205"/>
      <c r="KU20" s="205"/>
      <c r="KV20" s="205"/>
      <c r="KW20" s="205"/>
      <c r="KX20" s="205"/>
      <c r="KY20" s="205"/>
      <c r="KZ20" s="205"/>
      <c r="LA20" s="205"/>
      <c r="LB20" s="205"/>
      <c r="LC20" s="205"/>
      <c r="LD20" s="205"/>
      <c r="LE20" s="205"/>
      <c r="LF20" s="205"/>
      <c r="LG20" s="205"/>
      <c r="LH20" s="205"/>
      <c r="LI20" s="205"/>
      <c r="LJ20" s="205"/>
      <c r="LK20" s="205"/>
      <c r="LL20" s="205"/>
      <c r="LM20" s="205"/>
      <c r="LN20" s="205"/>
      <c r="LO20" s="205"/>
      <c r="LP20" s="205"/>
      <c r="LQ20" s="205"/>
      <c r="LR20" s="205"/>
      <c r="LS20" s="205"/>
      <c r="LT20" s="205"/>
      <c r="LU20" s="205"/>
      <c r="LV20" s="205"/>
      <c r="LW20" s="205"/>
      <c r="LX20" s="205"/>
      <c r="LY20" s="205"/>
      <c r="LZ20" s="205"/>
      <c r="MA20" s="205"/>
      <c r="MB20" s="205"/>
      <c r="MC20" s="205"/>
      <c r="MD20" s="205"/>
      <c r="ME20" s="205"/>
      <c r="MF20" s="205"/>
      <c r="MG20" s="205"/>
      <c r="MH20" s="205"/>
      <c r="MI20" s="205"/>
      <c r="MJ20" s="205"/>
      <c r="MK20" s="205"/>
      <c r="ML20" s="205"/>
      <c r="MM20" s="205"/>
      <c r="MN20" s="205"/>
      <c r="MO20" s="205"/>
      <c r="MP20" s="205"/>
      <c r="MQ20" s="205"/>
      <c r="MR20" s="205"/>
      <c r="MS20" s="205"/>
      <c r="MT20" s="205"/>
      <c r="MU20" s="205"/>
      <c r="MV20" s="205"/>
      <c r="MW20" s="205"/>
      <c r="MX20" s="205"/>
      <c r="MY20" s="205"/>
      <c r="MZ20" s="205"/>
      <c r="NA20" s="205"/>
      <c r="NB20" s="205"/>
      <c r="NC20" s="205"/>
      <c r="ND20" s="205"/>
      <c r="NE20" s="205"/>
      <c r="NF20" s="205"/>
      <c r="NG20" s="205"/>
      <c r="NH20" s="205"/>
      <c r="NI20" s="205"/>
      <c r="NJ20" s="205"/>
      <c r="NK20" s="205"/>
      <c r="NL20" s="205"/>
      <c r="NM20" s="205"/>
      <c r="NN20" s="205"/>
      <c r="NO20" s="205"/>
      <c r="NP20" s="205"/>
      <c r="NQ20" s="205"/>
      <c r="NR20" s="205"/>
      <c r="NS20" s="205"/>
      <c r="NT20" s="205"/>
      <c r="NU20" s="205"/>
      <c r="NV20" s="205"/>
      <c r="NW20" s="205"/>
      <c r="NX20" s="205"/>
      <c r="NY20" s="205"/>
      <c r="NZ20" s="205"/>
      <c r="OA20" s="205"/>
      <c r="OB20" s="205"/>
      <c r="OC20" s="205"/>
      <c r="OD20" s="205"/>
      <c r="OE20" s="205"/>
      <c r="OF20" s="205"/>
      <c r="OG20" s="205"/>
      <c r="OH20" s="205"/>
    </row>
    <row r="21" spans="1:398" ht="26.9" customHeight="1" x14ac:dyDescent="0.35">
      <c r="A21" s="102"/>
      <c r="B21" s="102"/>
      <c r="C21" s="102"/>
      <c r="D21" s="102"/>
      <c r="E21" s="102"/>
      <c r="F21" s="102"/>
      <c r="G21" s="103"/>
      <c r="H21" s="103"/>
      <c r="I21" s="206" t="s">
        <v>885</v>
      </c>
      <c r="J21" s="207"/>
      <c r="K21" s="207"/>
      <c r="L21" s="206" t="s">
        <v>756</v>
      </c>
      <c r="M21" s="206"/>
      <c r="N21" s="206"/>
      <c r="O21" s="205" t="s">
        <v>757</v>
      </c>
      <c r="P21" s="205"/>
      <c r="Q21" s="205"/>
      <c r="R21" s="205"/>
      <c r="S21" s="205"/>
      <c r="T21" s="205"/>
      <c r="U21" s="205"/>
      <c r="V21" s="205"/>
      <c r="W21" s="205"/>
      <c r="X21" s="205"/>
      <c r="Y21" s="205"/>
      <c r="Z21" s="205"/>
      <c r="AA21" s="205"/>
      <c r="AB21" s="205"/>
      <c r="AC21" s="205"/>
      <c r="AD21" s="205"/>
      <c r="AE21" s="205"/>
      <c r="AF21" s="205"/>
      <c r="AG21" s="205"/>
      <c r="AH21" s="205"/>
      <c r="AI21" s="205"/>
      <c r="AJ21" s="205"/>
      <c r="AK21" s="205"/>
      <c r="AL21" s="205"/>
      <c r="AM21" s="205"/>
      <c r="AN21" s="205"/>
      <c r="AO21" s="205"/>
      <c r="AP21" s="205"/>
      <c r="AQ21" s="205"/>
      <c r="AR21" s="205"/>
      <c r="AS21" s="205"/>
      <c r="AT21" s="205"/>
      <c r="AU21" s="205"/>
      <c r="AV21" s="205"/>
      <c r="AW21" s="205"/>
      <c r="AX21" s="205"/>
      <c r="AY21" s="205"/>
      <c r="AZ21" s="205" t="s">
        <v>946</v>
      </c>
      <c r="BA21" s="205"/>
      <c r="BB21" s="205"/>
      <c r="BC21" s="205"/>
      <c r="BD21" s="205"/>
      <c r="BE21" s="205"/>
      <c r="BF21" s="205"/>
      <c r="BG21" s="205"/>
      <c r="BH21" s="205"/>
      <c r="BI21" s="205"/>
      <c r="BJ21" s="205"/>
      <c r="BK21" s="205"/>
      <c r="BL21" s="205"/>
      <c r="BM21" s="205"/>
      <c r="BN21" s="205"/>
      <c r="BO21" s="205"/>
      <c r="BP21" s="205"/>
      <c r="BQ21" s="205"/>
      <c r="BR21" s="205"/>
      <c r="BS21" s="205"/>
      <c r="BT21" s="205"/>
      <c r="BU21" s="205"/>
      <c r="BV21" s="205"/>
      <c r="BW21" s="205"/>
      <c r="BX21" s="205"/>
      <c r="BY21" s="205"/>
      <c r="BZ21" s="205"/>
      <c r="CA21" s="205"/>
      <c r="CB21" s="205"/>
      <c r="CC21" s="205"/>
      <c r="CD21" s="205"/>
      <c r="CE21" s="205"/>
      <c r="CF21" s="205"/>
      <c r="CG21" s="205"/>
      <c r="CH21" s="205"/>
      <c r="CI21" s="205"/>
      <c r="CJ21" s="205"/>
      <c r="CK21" s="205"/>
      <c r="CL21" s="205"/>
      <c r="CM21" s="205"/>
      <c r="CN21" s="205"/>
      <c r="CO21" s="205"/>
      <c r="CP21" s="205"/>
      <c r="CQ21" s="205"/>
      <c r="CR21" s="205"/>
      <c r="CS21" s="205"/>
      <c r="CT21" s="205"/>
      <c r="CU21" s="205"/>
      <c r="CV21" s="205"/>
      <c r="CW21" s="205"/>
      <c r="CX21" s="205"/>
      <c r="CY21" s="205"/>
      <c r="CZ21" s="205"/>
      <c r="DA21" s="205"/>
      <c r="DB21" s="205"/>
      <c r="DC21" s="205"/>
      <c r="DD21" s="205"/>
      <c r="DE21" s="205"/>
      <c r="DF21" s="205"/>
      <c r="DG21" s="205"/>
      <c r="DH21" s="205"/>
      <c r="DI21" s="205"/>
      <c r="DJ21" s="205"/>
      <c r="DK21" s="205"/>
      <c r="DL21" s="205"/>
      <c r="DM21" s="205"/>
      <c r="DN21" s="205"/>
      <c r="DO21" s="205"/>
      <c r="DP21" s="205"/>
      <c r="DQ21" s="205"/>
      <c r="DR21" s="205"/>
      <c r="DS21" s="205"/>
      <c r="DT21" s="205"/>
      <c r="DU21" s="205"/>
      <c r="DV21" s="205"/>
      <c r="DW21" s="205"/>
      <c r="DX21" s="205"/>
      <c r="DY21" s="205"/>
      <c r="DZ21" s="205"/>
      <c r="EA21" s="205"/>
      <c r="EB21" s="205"/>
      <c r="EC21" s="205"/>
      <c r="ED21" s="205"/>
      <c r="EE21" s="205"/>
      <c r="EF21" s="205"/>
      <c r="EG21" s="205"/>
      <c r="EH21" s="205"/>
      <c r="EI21" s="205"/>
      <c r="EJ21" s="205"/>
      <c r="EK21" s="205"/>
      <c r="EL21" s="205"/>
      <c r="EM21" s="205"/>
      <c r="EN21" s="205"/>
      <c r="EO21" s="205"/>
      <c r="EP21" s="205"/>
      <c r="EQ21" s="205"/>
      <c r="ER21" s="205"/>
      <c r="ES21" s="205"/>
      <c r="ET21" s="205"/>
      <c r="EU21" s="205"/>
      <c r="EV21" s="205"/>
      <c r="EW21" s="205"/>
      <c r="EX21" s="205"/>
      <c r="EY21" s="205"/>
      <c r="EZ21" s="205"/>
      <c r="FA21" s="205"/>
      <c r="FB21" s="205"/>
      <c r="FC21" s="205"/>
      <c r="FD21" s="205"/>
      <c r="FE21" s="205"/>
      <c r="FF21" s="205"/>
      <c r="FG21" s="205"/>
      <c r="FH21" s="205"/>
      <c r="FI21" s="205"/>
      <c r="FJ21" s="205"/>
      <c r="FK21" s="205"/>
      <c r="FL21" s="205"/>
      <c r="FM21" s="205"/>
      <c r="FN21" s="205"/>
      <c r="FO21" s="205"/>
      <c r="FP21" s="205"/>
      <c r="FQ21" s="205"/>
      <c r="FR21" s="205"/>
      <c r="FS21" s="205"/>
      <c r="FT21" s="205"/>
      <c r="FU21" s="205"/>
      <c r="FV21" s="205"/>
      <c r="FW21" s="205"/>
      <c r="FX21" s="205"/>
      <c r="FY21" s="205"/>
      <c r="FZ21" s="205"/>
      <c r="GA21" s="205"/>
      <c r="GB21" s="205"/>
      <c r="GC21" s="205"/>
      <c r="GD21" s="205"/>
      <c r="GE21" s="205"/>
      <c r="GF21" s="205"/>
      <c r="GG21" s="205"/>
      <c r="GH21" s="205"/>
      <c r="GI21" s="205"/>
      <c r="GJ21" s="205"/>
      <c r="GK21" s="205"/>
      <c r="GL21" s="205"/>
      <c r="GM21" s="205"/>
      <c r="GN21" s="205"/>
      <c r="GO21" s="205"/>
      <c r="GP21" s="205"/>
      <c r="GQ21" s="205"/>
      <c r="GR21" s="205"/>
      <c r="GS21" s="205"/>
      <c r="GT21" s="205"/>
      <c r="GU21" s="205"/>
      <c r="GV21" s="205"/>
      <c r="GW21" s="205"/>
      <c r="GX21" s="205"/>
      <c r="GY21" s="205"/>
      <c r="GZ21" s="205"/>
      <c r="HA21" s="205"/>
      <c r="HB21" s="205"/>
      <c r="HC21" s="205"/>
      <c r="HD21" s="205"/>
      <c r="HE21" s="205"/>
      <c r="HF21" s="205"/>
      <c r="HG21" s="205"/>
      <c r="HH21" s="205"/>
      <c r="HI21" s="205"/>
      <c r="HJ21" s="205"/>
      <c r="HK21" s="205"/>
      <c r="HL21" s="205"/>
      <c r="HM21" s="205"/>
      <c r="HN21" s="205"/>
      <c r="HO21" s="205"/>
      <c r="HP21" s="205"/>
      <c r="HQ21" s="205"/>
      <c r="HR21" s="205"/>
      <c r="HS21" s="205"/>
      <c r="HT21" s="205"/>
      <c r="HU21" s="205"/>
      <c r="HV21" s="205"/>
      <c r="HW21" s="205"/>
      <c r="HX21" s="205"/>
      <c r="HY21" s="205"/>
      <c r="HZ21" s="205"/>
      <c r="IA21" s="205"/>
      <c r="IB21" s="205"/>
      <c r="IC21" s="205"/>
      <c r="ID21" s="205"/>
      <c r="IE21" s="205"/>
      <c r="IF21" s="205"/>
      <c r="IG21" s="205"/>
      <c r="IH21" s="205"/>
      <c r="II21" s="205"/>
      <c r="IJ21" s="205"/>
      <c r="IK21" s="205"/>
      <c r="IL21" s="205"/>
      <c r="IM21" s="205"/>
      <c r="IN21" s="205"/>
      <c r="IO21" s="205"/>
      <c r="IP21" s="205"/>
      <c r="IQ21" s="205"/>
      <c r="IR21" s="205"/>
      <c r="IS21" s="205"/>
      <c r="IT21" s="205"/>
      <c r="IU21" s="205"/>
      <c r="IV21" s="205"/>
      <c r="IW21" s="205"/>
      <c r="IX21" s="205"/>
      <c r="IY21" s="205"/>
      <c r="IZ21" s="205"/>
      <c r="JA21" s="205"/>
      <c r="JB21" s="205"/>
      <c r="JC21" s="205"/>
      <c r="JD21" s="205"/>
      <c r="JE21" s="205"/>
      <c r="JF21" s="205"/>
      <c r="JG21" s="205"/>
      <c r="JH21" s="205"/>
      <c r="JI21" s="205"/>
      <c r="JJ21" s="205"/>
      <c r="JK21" s="205"/>
      <c r="JL21" s="205"/>
      <c r="JM21" s="205"/>
      <c r="JN21" s="205"/>
      <c r="JO21" s="205"/>
      <c r="JP21" s="205"/>
      <c r="JQ21" s="205"/>
      <c r="JR21" s="205"/>
      <c r="JS21" s="205"/>
      <c r="JT21" s="205"/>
      <c r="JU21" s="205"/>
      <c r="JV21" s="205"/>
      <c r="JW21" s="205"/>
      <c r="JX21" s="205"/>
      <c r="JY21" s="205"/>
      <c r="JZ21" s="205"/>
      <c r="KA21" s="205"/>
      <c r="KB21" s="205"/>
      <c r="KC21" s="205"/>
      <c r="KD21" s="205"/>
      <c r="KE21" s="205"/>
      <c r="KF21" s="205"/>
      <c r="KG21" s="205"/>
      <c r="KH21" s="205"/>
      <c r="KI21" s="205"/>
      <c r="KJ21" s="205"/>
      <c r="KK21" s="205"/>
      <c r="KL21" s="205"/>
      <c r="KM21" s="205"/>
      <c r="KN21" s="205"/>
      <c r="KO21" s="205"/>
      <c r="KP21" s="205"/>
      <c r="KQ21" s="205"/>
      <c r="KR21" s="205"/>
      <c r="KS21" s="205"/>
      <c r="KT21" s="205"/>
      <c r="KU21" s="205"/>
      <c r="KV21" s="205"/>
      <c r="KW21" s="205"/>
      <c r="KX21" s="205"/>
      <c r="KY21" s="205"/>
      <c r="KZ21" s="205"/>
      <c r="LA21" s="205"/>
      <c r="LB21" s="205"/>
      <c r="LC21" s="205"/>
      <c r="LD21" s="205"/>
      <c r="LE21" s="205"/>
      <c r="LF21" s="205"/>
      <c r="LG21" s="205"/>
      <c r="LH21" s="205"/>
      <c r="LI21" s="205"/>
      <c r="LJ21" s="205"/>
      <c r="LK21" s="205"/>
      <c r="LL21" s="205"/>
      <c r="LM21" s="205"/>
      <c r="LN21" s="205"/>
      <c r="LO21" s="205"/>
      <c r="LP21" s="205"/>
      <c r="LQ21" s="205"/>
      <c r="LR21" s="205"/>
      <c r="LS21" s="205"/>
      <c r="LT21" s="205"/>
      <c r="LU21" s="205"/>
      <c r="LV21" s="205"/>
      <c r="LW21" s="205"/>
      <c r="LX21" s="205"/>
      <c r="LY21" s="205"/>
      <c r="LZ21" s="205"/>
      <c r="MA21" s="205"/>
      <c r="MB21" s="205"/>
      <c r="MC21" s="205"/>
      <c r="MD21" s="205"/>
      <c r="ME21" s="205"/>
      <c r="MF21" s="205"/>
      <c r="MG21" s="205"/>
      <c r="MH21" s="205"/>
      <c r="MI21" s="205"/>
      <c r="MJ21" s="205"/>
      <c r="MK21" s="205"/>
      <c r="ML21" s="205"/>
      <c r="MM21" s="205"/>
      <c r="MN21" s="205"/>
      <c r="MO21" s="205"/>
      <c r="MP21" s="205"/>
      <c r="MQ21" s="205"/>
      <c r="MR21" s="205"/>
      <c r="MS21" s="205"/>
      <c r="MT21" s="205"/>
      <c r="MU21" s="205"/>
      <c r="MV21" s="205"/>
      <c r="MW21" s="205"/>
      <c r="MX21" s="205"/>
      <c r="MY21" s="205"/>
      <c r="MZ21" s="205"/>
      <c r="NA21" s="205"/>
      <c r="NB21" s="205"/>
      <c r="NC21" s="205"/>
      <c r="ND21" s="205"/>
      <c r="NE21" s="205"/>
      <c r="NF21" s="205"/>
      <c r="NG21" s="205"/>
      <c r="NH21" s="205"/>
      <c r="NI21" s="205"/>
      <c r="NJ21" s="205"/>
      <c r="NK21" s="205"/>
      <c r="NL21" s="205"/>
      <c r="NM21" s="205"/>
      <c r="NN21" s="205"/>
      <c r="NO21" s="205"/>
      <c r="NP21" s="205"/>
      <c r="NQ21" s="205"/>
      <c r="NR21" s="205"/>
      <c r="NS21" s="205"/>
      <c r="NT21" s="205"/>
      <c r="NU21" s="205"/>
      <c r="NV21" s="205"/>
      <c r="NW21" s="205"/>
      <c r="NX21" s="205"/>
      <c r="NY21" s="205"/>
      <c r="NZ21" s="205"/>
      <c r="OA21" s="205"/>
      <c r="OB21" s="205"/>
      <c r="OC21" s="205"/>
      <c r="OD21" s="205"/>
      <c r="OE21" s="205"/>
      <c r="OF21" s="205"/>
      <c r="OG21" s="205"/>
      <c r="OH21" s="205"/>
    </row>
    <row r="22" spans="1:398" ht="25" x14ac:dyDescent="0.35">
      <c r="A22" s="102"/>
      <c r="B22" s="102"/>
      <c r="C22" s="102"/>
      <c r="D22" s="102"/>
      <c r="E22" s="102"/>
      <c r="F22" s="102"/>
      <c r="G22" s="103"/>
      <c r="H22" s="103"/>
      <c r="I22" s="208" t="s">
        <v>738</v>
      </c>
      <c r="J22" s="112"/>
      <c r="K22" s="210"/>
      <c r="L22" s="212" t="s">
        <v>738</v>
      </c>
      <c r="M22" s="114"/>
      <c r="N22" s="210"/>
      <c r="O22" s="114"/>
      <c r="P22" s="214"/>
      <c r="Q22" s="214"/>
      <c r="R22" s="214"/>
      <c r="S22" s="214"/>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5"/>
      <c r="AZ22" s="111" t="s">
        <v>766</v>
      </c>
      <c r="BA22" s="111" t="s">
        <v>766</v>
      </c>
      <c r="BB22" s="111" t="s">
        <v>766</v>
      </c>
      <c r="BC22" s="111" t="s">
        <v>766</v>
      </c>
      <c r="BD22" s="111" t="s">
        <v>766</v>
      </c>
      <c r="BE22" s="111" t="s">
        <v>766</v>
      </c>
      <c r="BF22" s="111" t="s">
        <v>766</v>
      </c>
      <c r="BG22" s="111" t="s">
        <v>766</v>
      </c>
      <c r="BH22" s="111" t="s">
        <v>766</v>
      </c>
      <c r="BI22" s="111" t="s">
        <v>766</v>
      </c>
      <c r="BJ22" s="111" t="s">
        <v>766</v>
      </c>
      <c r="BK22" s="111" t="s">
        <v>766</v>
      </c>
      <c r="BL22" s="111" t="s">
        <v>766</v>
      </c>
      <c r="BM22" s="111" t="s">
        <v>766</v>
      </c>
      <c r="BN22" s="111" t="s">
        <v>766</v>
      </c>
      <c r="BO22" s="111" t="s">
        <v>766</v>
      </c>
      <c r="BP22" s="111" t="s">
        <v>766</v>
      </c>
      <c r="BQ22" s="111" t="s">
        <v>766</v>
      </c>
      <c r="BR22" s="111" t="s">
        <v>766</v>
      </c>
      <c r="BS22" s="111" t="s">
        <v>766</v>
      </c>
      <c r="BT22" s="111" t="s">
        <v>766</v>
      </c>
      <c r="BU22" s="111" t="s">
        <v>766</v>
      </c>
      <c r="BV22" s="111" t="s">
        <v>766</v>
      </c>
      <c r="BW22" s="111" t="s">
        <v>766</v>
      </c>
      <c r="BX22" s="111" t="s">
        <v>766</v>
      </c>
      <c r="BY22" s="111" t="s">
        <v>766</v>
      </c>
      <c r="BZ22" s="111" t="s">
        <v>766</v>
      </c>
      <c r="CA22" s="111" t="s">
        <v>766</v>
      </c>
      <c r="CB22" s="111" t="s">
        <v>766</v>
      </c>
      <c r="CC22" s="111" t="s">
        <v>766</v>
      </c>
      <c r="CD22" s="111" t="s">
        <v>766</v>
      </c>
      <c r="CE22" s="111" t="s">
        <v>766</v>
      </c>
      <c r="CF22" s="111" t="s">
        <v>766</v>
      </c>
      <c r="CG22" s="111" t="s">
        <v>766</v>
      </c>
      <c r="CH22" s="111" t="s">
        <v>766</v>
      </c>
      <c r="CI22" s="111" t="s">
        <v>766</v>
      </c>
      <c r="CJ22" s="111" t="s">
        <v>766</v>
      </c>
      <c r="CK22" s="111" t="s">
        <v>766</v>
      </c>
      <c r="CL22" s="111" t="s">
        <v>766</v>
      </c>
      <c r="CM22" s="111" t="s">
        <v>766</v>
      </c>
      <c r="CN22" s="111" t="s">
        <v>766</v>
      </c>
      <c r="CO22" s="111" t="s">
        <v>766</v>
      </c>
      <c r="CP22" s="111" t="s">
        <v>766</v>
      </c>
      <c r="CQ22" s="111" t="s">
        <v>766</v>
      </c>
      <c r="CR22" s="111" t="s">
        <v>766</v>
      </c>
      <c r="CS22" s="111" t="s">
        <v>766</v>
      </c>
      <c r="CT22" s="111" t="s">
        <v>766</v>
      </c>
      <c r="CU22" s="111" t="s">
        <v>766</v>
      </c>
      <c r="CV22" s="111" t="s">
        <v>766</v>
      </c>
      <c r="CW22" s="111" t="s">
        <v>766</v>
      </c>
      <c r="CX22" s="111" t="s">
        <v>766</v>
      </c>
      <c r="CY22" s="111" t="s">
        <v>766</v>
      </c>
      <c r="CZ22" s="111" t="s">
        <v>766</v>
      </c>
      <c r="DA22" s="111" t="s">
        <v>766</v>
      </c>
      <c r="DB22" s="111" t="s">
        <v>766</v>
      </c>
      <c r="DC22" s="111" t="s">
        <v>766</v>
      </c>
      <c r="DD22" s="111" t="s">
        <v>766</v>
      </c>
      <c r="DE22" s="111" t="s">
        <v>766</v>
      </c>
      <c r="DF22" s="111" t="s">
        <v>766</v>
      </c>
      <c r="DG22" s="111" t="s">
        <v>766</v>
      </c>
      <c r="DH22" s="111" t="s">
        <v>766</v>
      </c>
      <c r="DI22" s="111" t="s">
        <v>766</v>
      </c>
      <c r="DJ22" s="111" t="s">
        <v>766</v>
      </c>
      <c r="DK22" s="111" t="s">
        <v>766</v>
      </c>
      <c r="DL22" s="111" t="s">
        <v>766</v>
      </c>
      <c r="DM22" s="111" t="s">
        <v>766</v>
      </c>
      <c r="DN22" s="111" t="s">
        <v>766</v>
      </c>
      <c r="DO22" s="111" t="s">
        <v>766</v>
      </c>
      <c r="DP22" s="111" t="s">
        <v>766</v>
      </c>
      <c r="DQ22" s="111" t="s">
        <v>766</v>
      </c>
      <c r="DR22" s="111" t="s">
        <v>766</v>
      </c>
      <c r="DS22" s="111" t="s">
        <v>766</v>
      </c>
      <c r="DT22" s="111" t="s">
        <v>766</v>
      </c>
      <c r="DU22" s="111" t="s">
        <v>766</v>
      </c>
      <c r="DV22" s="111" t="s">
        <v>766</v>
      </c>
      <c r="DW22" s="111" t="s">
        <v>766</v>
      </c>
      <c r="DX22" s="111" t="s">
        <v>766</v>
      </c>
      <c r="DY22" s="111" t="s">
        <v>766</v>
      </c>
      <c r="DZ22" s="111" t="s">
        <v>766</v>
      </c>
      <c r="EA22" s="111" t="s">
        <v>766</v>
      </c>
      <c r="EB22" s="111" t="s">
        <v>766</v>
      </c>
      <c r="EC22" s="111" t="s">
        <v>766</v>
      </c>
      <c r="ED22" s="111" t="s">
        <v>766</v>
      </c>
      <c r="EE22" s="111" t="s">
        <v>766</v>
      </c>
      <c r="EF22" s="111" t="s">
        <v>766</v>
      </c>
      <c r="EG22" s="111" t="s">
        <v>766</v>
      </c>
      <c r="EH22" s="111" t="s">
        <v>766</v>
      </c>
      <c r="EI22" s="111" t="s">
        <v>766</v>
      </c>
      <c r="EJ22" s="111" t="s">
        <v>766</v>
      </c>
      <c r="EK22" s="111" t="s">
        <v>766</v>
      </c>
      <c r="EL22" s="111" t="s">
        <v>766</v>
      </c>
      <c r="EM22" s="111" t="s">
        <v>766</v>
      </c>
      <c r="EN22" s="111" t="s">
        <v>766</v>
      </c>
      <c r="EO22" s="111" t="s">
        <v>766</v>
      </c>
      <c r="EP22" s="111" t="s">
        <v>766</v>
      </c>
      <c r="EQ22" s="111" t="s">
        <v>766</v>
      </c>
      <c r="ER22" s="111" t="s">
        <v>766</v>
      </c>
      <c r="ES22" s="111" t="s">
        <v>766</v>
      </c>
      <c r="ET22" s="111" t="s">
        <v>766</v>
      </c>
      <c r="EU22" s="111" t="s">
        <v>766</v>
      </c>
      <c r="EV22" s="111" t="s">
        <v>766</v>
      </c>
      <c r="EW22" s="111" t="s">
        <v>766</v>
      </c>
      <c r="EX22" s="111" t="s">
        <v>766</v>
      </c>
      <c r="EY22" s="111" t="s">
        <v>766</v>
      </c>
      <c r="EZ22" s="111" t="s">
        <v>766</v>
      </c>
      <c r="FA22" s="111" t="s">
        <v>766</v>
      </c>
      <c r="FB22" s="111" t="s">
        <v>766</v>
      </c>
      <c r="FC22" s="111" t="s">
        <v>766</v>
      </c>
      <c r="FD22" s="111" t="s">
        <v>766</v>
      </c>
      <c r="FE22" s="111" t="s">
        <v>766</v>
      </c>
      <c r="FF22" s="111" t="s">
        <v>766</v>
      </c>
      <c r="FG22" s="111" t="s">
        <v>766</v>
      </c>
      <c r="FH22" s="111" t="s">
        <v>766</v>
      </c>
      <c r="FI22" s="111" t="s">
        <v>766</v>
      </c>
      <c r="FJ22" s="111" t="s">
        <v>766</v>
      </c>
      <c r="FK22" s="111" t="s">
        <v>766</v>
      </c>
      <c r="FL22" s="111" t="s">
        <v>766</v>
      </c>
      <c r="FM22" s="111" t="s">
        <v>766</v>
      </c>
      <c r="FN22" s="111" t="s">
        <v>766</v>
      </c>
      <c r="FO22" s="111" t="s">
        <v>766</v>
      </c>
      <c r="FP22" s="111" t="s">
        <v>766</v>
      </c>
      <c r="FQ22" s="111" t="s">
        <v>766</v>
      </c>
      <c r="FR22" s="111" t="s">
        <v>766</v>
      </c>
      <c r="FS22" s="111" t="s">
        <v>766</v>
      </c>
      <c r="FT22" s="111" t="s">
        <v>766</v>
      </c>
      <c r="FU22" s="111" t="s">
        <v>766</v>
      </c>
      <c r="FV22" s="111" t="s">
        <v>766</v>
      </c>
      <c r="FW22" s="111" t="s">
        <v>766</v>
      </c>
      <c r="FX22" s="111" t="s">
        <v>766</v>
      </c>
      <c r="FY22" s="111" t="s">
        <v>766</v>
      </c>
      <c r="FZ22" s="111" t="s">
        <v>766</v>
      </c>
      <c r="GA22" s="111" t="s">
        <v>766</v>
      </c>
      <c r="GB22" s="111" t="s">
        <v>766</v>
      </c>
      <c r="GC22" s="111" t="s">
        <v>766</v>
      </c>
      <c r="GD22" s="111" t="s">
        <v>766</v>
      </c>
      <c r="GE22" s="111" t="s">
        <v>766</v>
      </c>
      <c r="GF22" s="111" t="s">
        <v>766</v>
      </c>
      <c r="GG22" s="111" t="s">
        <v>766</v>
      </c>
      <c r="GH22" s="111" t="s">
        <v>766</v>
      </c>
      <c r="GI22" s="111" t="s">
        <v>766</v>
      </c>
      <c r="GJ22" s="111" t="s">
        <v>766</v>
      </c>
      <c r="GK22" s="111" t="s">
        <v>766</v>
      </c>
      <c r="GL22" s="111" t="s">
        <v>766</v>
      </c>
      <c r="GM22" s="111" t="s">
        <v>766</v>
      </c>
      <c r="GN22" s="111" t="s">
        <v>766</v>
      </c>
      <c r="GO22" s="111" t="s">
        <v>766</v>
      </c>
      <c r="GP22" s="111" t="s">
        <v>766</v>
      </c>
      <c r="GQ22" s="111" t="s">
        <v>766</v>
      </c>
      <c r="GR22" s="111" t="s">
        <v>766</v>
      </c>
      <c r="GS22" s="111" t="s">
        <v>766</v>
      </c>
      <c r="GT22" s="111" t="s">
        <v>766</v>
      </c>
      <c r="GU22" s="111" t="s">
        <v>766</v>
      </c>
      <c r="GV22" s="111" t="s">
        <v>766</v>
      </c>
      <c r="GW22" s="111" t="s">
        <v>766</v>
      </c>
      <c r="GX22" s="111" t="s">
        <v>766</v>
      </c>
      <c r="GY22" s="111" t="s">
        <v>766</v>
      </c>
      <c r="GZ22" s="111" t="s">
        <v>766</v>
      </c>
      <c r="HA22" s="111" t="s">
        <v>766</v>
      </c>
      <c r="HB22" s="111" t="s">
        <v>766</v>
      </c>
      <c r="HC22" s="111" t="s">
        <v>766</v>
      </c>
      <c r="HD22" s="111" t="s">
        <v>766</v>
      </c>
      <c r="HE22" s="111" t="s">
        <v>766</v>
      </c>
      <c r="HF22" s="111" t="s">
        <v>766</v>
      </c>
      <c r="HG22" s="111" t="s">
        <v>766</v>
      </c>
      <c r="HH22" s="111" t="s">
        <v>766</v>
      </c>
      <c r="HI22" s="111" t="s">
        <v>766</v>
      </c>
      <c r="HJ22" s="111" t="s">
        <v>766</v>
      </c>
      <c r="HK22" s="111" t="s">
        <v>766</v>
      </c>
      <c r="HL22" s="111" t="s">
        <v>766</v>
      </c>
      <c r="HM22" s="111" t="s">
        <v>766</v>
      </c>
      <c r="HN22" s="111" t="s">
        <v>766</v>
      </c>
      <c r="HO22" s="111" t="s">
        <v>766</v>
      </c>
      <c r="HP22" s="111" t="s">
        <v>766</v>
      </c>
      <c r="HQ22" s="111" t="s">
        <v>766</v>
      </c>
      <c r="HR22" s="111" t="s">
        <v>766</v>
      </c>
      <c r="HS22" s="111" t="s">
        <v>766</v>
      </c>
      <c r="HT22" s="111" t="s">
        <v>766</v>
      </c>
      <c r="HU22" s="111" t="s">
        <v>766</v>
      </c>
      <c r="HV22" s="111" t="s">
        <v>766</v>
      </c>
      <c r="HW22" s="111" t="s">
        <v>766</v>
      </c>
      <c r="HX22" s="111" t="s">
        <v>766</v>
      </c>
      <c r="HY22" s="111" t="s">
        <v>766</v>
      </c>
      <c r="HZ22" s="111" t="s">
        <v>766</v>
      </c>
      <c r="IA22" s="111" t="s">
        <v>766</v>
      </c>
      <c r="IB22" s="111" t="s">
        <v>766</v>
      </c>
      <c r="IC22" s="111" t="s">
        <v>766</v>
      </c>
      <c r="ID22" s="111" t="s">
        <v>766</v>
      </c>
      <c r="IE22" s="111" t="s">
        <v>766</v>
      </c>
      <c r="IF22" s="111" t="s">
        <v>766</v>
      </c>
      <c r="IG22" s="111" t="s">
        <v>766</v>
      </c>
      <c r="IH22" s="111" t="s">
        <v>766</v>
      </c>
      <c r="II22" s="111" t="s">
        <v>766</v>
      </c>
      <c r="IJ22" s="111" t="s">
        <v>766</v>
      </c>
      <c r="IK22" s="111" t="s">
        <v>766</v>
      </c>
      <c r="IL22" s="111" t="s">
        <v>766</v>
      </c>
      <c r="IM22" s="111" t="s">
        <v>766</v>
      </c>
      <c r="IN22" s="111" t="s">
        <v>766</v>
      </c>
      <c r="IO22" s="111" t="s">
        <v>766</v>
      </c>
      <c r="IP22" s="111" t="s">
        <v>766</v>
      </c>
      <c r="IQ22" s="111" t="s">
        <v>766</v>
      </c>
      <c r="IR22" s="111" t="s">
        <v>766</v>
      </c>
      <c r="IS22" s="111" t="s">
        <v>766</v>
      </c>
      <c r="IT22" s="111" t="s">
        <v>766</v>
      </c>
      <c r="IU22" s="111" t="s">
        <v>766</v>
      </c>
      <c r="IV22" s="111" t="s">
        <v>766</v>
      </c>
      <c r="IW22" s="111" t="s">
        <v>766</v>
      </c>
      <c r="IX22" s="111" t="s">
        <v>766</v>
      </c>
      <c r="IY22" s="111" t="s">
        <v>766</v>
      </c>
      <c r="IZ22" s="111" t="s">
        <v>766</v>
      </c>
      <c r="JA22" s="111" t="s">
        <v>766</v>
      </c>
      <c r="JB22" s="111" t="s">
        <v>766</v>
      </c>
      <c r="JC22" s="111" t="s">
        <v>766</v>
      </c>
      <c r="JD22" s="111" t="s">
        <v>766</v>
      </c>
      <c r="JE22" s="111" t="s">
        <v>766</v>
      </c>
      <c r="JF22" s="111" t="s">
        <v>766</v>
      </c>
      <c r="JG22" s="111" t="s">
        <v>766</v>
      </c>
      <c r="JH22" s="111" t="s">
        <v>766</v>
      </c>
      <c r="JI22" s="111" t="s">
        <v>766</v>
      </c>
      <c r="JJ22" s="111" t="s">
        <v>766</v>
      </c>
      <c r="JK22" s="111" t="s">
        <v>766</v>
      </c>
      <c r="JL22" s="111" t="s">
        <v>766</v>
      </c>
      <c r="JM22" s="111" t="s">
        <v>766</v>
      </c>
      <c r="JN22" s="111" t="s">
        <v>766</v>
      </c>
      <c r="JO22" s="111" t="s">
        <v>766</v>
      </c>
      <c r="JP22" s="111" t="s">
        <v>766</v>
      </c>
      <c r="JQ22" s="111" t="s">
        <v>766</v>
      </c>
      <c r="JR22" s="111" t="s">
        <v>766</v>
      </c>
      <c r="JS22" s="111" t="s">
        <v>766</v>
      </c>
      <c r="JT22" s="111" t="s">
        <v>766</v>
      </c>
      <c r="JU22" s="111" t="s">
        <v>766</v>
      </c>
      <c r="JV22" s="111" t="s">
        <v>766</v>
      </c>
      <c r="JW22" s="111" t="s">
        <v>766</v>
      </c>
      <c r="JX22" s="111" t="s">
        <v>766</v>
      </c>
      <c r="JY22" s="111" t="s">
        <v>766</v>
      </c>
      <c r="JZ22" s="111" t="s">
        <v>766</v>
      </c>
      <c r="KA22" s="111" t="s">
        <v>766</v>
      </c>
      <c r="KB22" s="111" t="s">
        <v>766</v>
      </c>
      <c r="KC22" s="111" t="s">
        <v>766</v>
      </c>
      <c r="KD22" s="111" t="s">
        <v>766</v>
      </c>
      <c r="KE22" s="111" t="s">
        <v>766</v>
      </c>
      <c r="KF22" s="111" t="s">
        <v>766</v>
      </c>
      <c r="KG22" s="111" t="s">
        <v>766</v>
      </c>
      <c r="KH22" s="111" t="s">
        <v>766</v>
      </c>
      <c r="KI22" s="111" t="s">
        <v>766</v>
      </c>
      <c r="KJ22" s="111" t="s">
        <v>766</v>
      </c>
      <c r="KK22" s="111" t="s">
        <v>766</v>
      </c>
      <c r="KL22" s="111" t="s">
        <v>766</v>
      </c>
      <c r="KM22" s="111" t="s">
        <v>766</v>
      </c>
      <c r="KN22" s="111" t="s">
        <v>766</v>
      </c>
      <c r="KO22" s="111" t="s">
        <v>766</v>
      </c>
      <c r="KP22" s="111" t="s">
        <v>766</v>
      </c>
      <c r="KQ22" s="111" t="s">
        <v>766</v>
      </c>
      <c r="KR22" s="111" t="s">
        <v>766</v>
      </c>
      <c r="KS22" s="111" t="s">
        <v>766</v>
      </c>
      <c r="KT22" s="111" t="s">
        <v>766</v>
      </c>
      <c r="KU22" s="111" t="s">
        <v>766</v>
      </c>
      <c r="KV22" s="111" t="s">
        <v>766</v>
      </c>
      <c r="KW22" s="111" t="s">
        <v>766</v>
      </c>
      <c r="KX22" s="111" t="s">
        <v>766</v>
      </c>
      <c r="KY22" s="111" t="s">
        <v>766</v>
      </c>
      <c r="KZ22" s="111" t="s">
        <v>766</v>
      </c>
      <c r="LA22" s="111" t="s">
        <v>766</v>
      </c>
      <c r="LB22" s="111" t="s">
        <v>766</v>
      </c>
      <c r="LC22" s="111" t="s">
        <v>766</v>
      </c>
      <c r="LD22" s="111" t="s">
        <v>766</v>
      </c>
      <c r="LE22" s="111" t="s">
        <v>766</v>
      </c>
      <c r="LF22" s="111" t="s">
        <v>766</v>
      </c>
      <c r="LG22" s="111" t="s">
        <v>766</v>
      </c>
      <c r="LH22" s="111" t="s">
        <v>766</v>
      </c>
      <c r="LI22" s="111" t="s">
        <v>766</v>
      </c>
      <c r="LJ22" s="111" t="s">
        <v>766</v>
      </c>
      <c r="LK22" s="111" t="s">
        <v>766</v>
      </c>
      <c r="LL22" s="111" t="s">
        <v>767</v>
      </c>
      <c r="LM22" s="111" t="s">
        <v>767</v>
      </c>
      <c r="LN22" s="111" t="s">
        <v>767</v>
      </c>
      <c r="LO22" s="111" t="s">
        <v>767</v>
      </c>
      <c r="LP22" s="111" t="s">
        <v>767</v>
      </c>
      <c r="LQ22" s="111" t="s">
        <v>767</v>
      </c>
      <c r="LR22" s="111" t="s">
        <v>767</v>
      </c>
      <c r="LS22" s="111" t="s">
        <v>767</v>
      </c>
      <c r="LT22" s="111" t="s">
        <v>767</v>
      </c>
      <c r="LU22" s="111" t="s">
        <v>767</v>
      </c>
      <c r="LV22" s="111" t="s">
        <v>767</v>
      </c>
      <c r="LW22" s="111" t="s">
        <v>767</v>
      </c>
      <c r="LX22" s="111" t="s">
        <v>767</v>
      </c>
      <c r="LY22" s="111" t="s">
        <v>767</v>
      </c>
      <c r="LZ22" s="111" t="s">
        <v>767</v>
      </c>
      <c r="MA22" s="111" t="s">
        <v>767</v>
      </c>
      <c r="MB22" s="111" t="s">
        <v>767</v>
      </c>
      <c r="MC22" s="111" t="s">
        <v>767</v>
      </c>
      <c r="MD22" s="111" t="s">
        <v>767</v>
      </c>
      <c r="ME22" s="111" t="s">
        <v>767</v>
      </c>
      <c r="MF22" s="111" t="s">
        <v>767</v>
      </c>
      <c r="MG22" s="111" t="s">
        <v>767</v>
      </c>
      <c r="MH22" s="111" t="s">
        <v>767</v>
      </c>
      <c r="MI22" s="111" t="s">
        <v>767</v>
      </c>
      <c r="MJ22" s="111" t="s">
        <v>767</v>
      </c>
      <c r="MK22" s="111" t="s">
        <v>767</v>
      </c>
      <c r="ML22" s="111" t="s">
        <v>767</v>
      </c>
      <c r="MM22" s="111" t="s">
        <v>767</v>
      </c>
      <c r="MN22" s="111" t="s">
        <v>767</v>
      </c>
      <c r="MO22" s="111" t="s">
        <v>767</v>
      </c>
      <c r="MP22" s="111" t="s">
        <v>767</v>
      </c>
      <c r="MQ22" s="111" t="s">
        <v>768</v>
      </c>
      <c r="MR22" s="111" t="s">
        <v>768</v>
      </c>
      <c r="MS22" s="111" t="s">
        <v>768</v>
      </c>
      <c r="MT22" s="111" t="s">
        <v>768</v>
      </c>
      <c r="MU22" s="111" t="s">
        <v>768</v>
      </c>
      <c r="MV22" s="111" t="s">
        <v>768</v>
      </c>
      <c r="MW22" s="111" t="s">
        <v>768</v>
      </c>
      <c r="MX22" s="111" t="s">
        <v>768</v>
      </c>
      <c r="MY22" s="111" t="s">
        <v>768</v>
      </c>
      <c r="MZ22" s="111" t="s">
        <v>768</v>
      </c>
      <c r="NA22" s="111" t="s">
        <v>768</v>
      </c>
      <c r="NB22" s="111" t="s">
        <v>768</v>
      </c>
      <c r="NC22" s="111" t="s">
        <v>768</v>
      </c>
      <c r="ND22" s="111" t="s">
        <v>768</v>
      </c>
      <c r="NE22" s="111" t="s">
        <v>768</v>
      </c>
      <c r="NF22" s="111" t="s">
        <v>768</v>
      </c>
      <c r="NG22" s="111" t="s">
        <v>768</v>
      </c>
      <c r="NH22" s="111" t="s">
        <v>768</v>
      </c>
      <c r="NI22" s="111" t="s">
        <v>768</v>
      </c>
      <c r="NJ22" s="111" t="s">
        <v>768</v>
      </c>
      <c r="NK22" s="111" t="s">
        <v>768</v>
      </c>
      <c r="NL22" s="111" t="s">
        <v>768</v>
      </c>
      <c r="NM22" s="111" t="s">
        <v>768</v>
      </c>
      <c r="NN22" s="111" t="s">
        <v>768</v>
      </c>
      <c r="NO22" s="111" t="s">
        <v>768</v>
      </c>
      <c r="NP22" s="111" t="s">
        <v>768</v>
      </c>
      <c r="NQ22" s="111" t="s">
        <v>768</v>
      </c>
      <c r="NR22" s="111" t="s">
        <v>768</v>
      </c>
      <c r="NS22" s="111" t="s">
        <v>768</v>
      </c>
      <c r="NT22" s="111" t="s">
        <v>768</v>
      </c>
      <c r="NU22" s="111" t="s">
        <v>768</v>
      </c>
      <c r="NV22" s="111" t="s">
        <v>768</v>
      </c>
      <c r="NW22" s="111" t="s">
        <v>769</v>
      </c>
      <c r="NX22" s="111" t="s">
        <v>769</v>
      </c>
      <c r="NY22" s="111" t="s">
        <v>769</v>
      </c>
      <c r="NZ22" s="111" t="s">
        <v>769</v>
      </c>
      <c r="OA22" s="111" t="s">
        <v>769</v>
      </c>
      <c r="OB22" s="111" t="s">
        <v>769</v>
      </c>
      <c r="OC22" s="111" t="s">
        <v>769</v>
      </c>
      <c r="OD22" s="111" t="s">
        <v>769</v>
      </c>
      <c r="OE22" s="111" t="s">
        <v>769</v>
      </c>
      <c r="OF22" s="111" t="s">
        <v>769</v>
      </c>
      <c r="OG22" s="111" t="s">
        <v>769</v>
      </c>
      <c r="OH22" s="111" t="s">
        <v>769</v>
      </c>
    </row>
    <row r="23" spans="1:398" ht="25" x14ac:dyDescent="0.35">
      <c r="A23" s="102"/>
      <c r="B23" s="102"/>
      <c r="C23" s="102"/>
      <c r="D23" s="102"/>
      <c r="E23" s="102"/>
      <c r="F23" s="116"/>
      <c r="G23" s="116"/>
      <c r="H23" s="116"/>
      <c r="I23" s="208"/>
      <c r="J23" s="113"/>
      <c r="K23" s="211"/>
      <c r="L23" s="213"/>
      <c r="M23" s="113"/>
      <c r="N23" s="211"/>
      <c r="O23" s="114"/>
      <c r="P23" s="117"/>
      <c r="Q23" s="118"/>
      <c r="R23" s="215"/>
      <c r="S23" s="216"/>
      <c r="T23" s="218" t="s">
        <v>886</v>
      </c>
      <c r="U23" s="219"/>
      <c r="V23" s="219"/>
      <c r="W23" s="219"/>
      <c r="X23" s="219"/>
      <c r="Y23" s="219"/>
      <c r="Z23" s="219"/>
      <c r="AA23" s="219"/>
      <c r="AB23" s="219"/>
      <c r="AC23" s="219"/>
      <c r="AD23" s="219"/>
      <c r="AE23" s="219"/>
      <c r="AF23" s="219"/>
      <c r="AG23" s="219"/>
      <c r="AH23" s="219"/>
      <c r="AI23" s="219"/>
      <c r="AJ23" s="219"/>
      <c r="AK23" s="219"/>
      <c r="AL23" s="219"/>
      <c r="AM23" s="219"/>
      <c r="AN23" s="219"/>
      <c r="AO23" s="219"/>
      <c r="AP23" s="219"/>
      <c r="AQ23" s="219"/>
      <c r="AR23" s="219"/>
      <c r="AS23" s="219"/>
      <c r="AT23" s="219"/>
      <c r="AU23" s="219"/>
      <c r="AV23" s="219"/>
      <c r="AW23" s="219"/>
      <c r="AX23" s="219"/>
      <c r="AY23" s="220"/>
      <c r="AZ23" s="111" t="s">
        <v>775</v>
      </c>
      <c r="BA23" s="111" t="s">
        <v>775</v>
      </c>
      <c r="BB23" s="111" t="s">
        <v>775</v>
      </c>
      <c r="BC23" s="111" t="s">
        <v>775</v>
      </c>
      <c r="BD23" s="111" t="s">
        <v>775</v>
      </c>
      <c r="BE23" s="111" t="s">
        <v>775</v>
      </c>
      <c r="BF23" s="111" t="s">
        <v>775</v>
      </c>
      <c r="BG23" s="111" t="s">
        <v>775</v>
      </c>
      <c r="BH23" s="111" t="s">
        <v>775</v>
      </c>
      <c r="BI23" s="111" t="s">
        <v>775</v>
      </c>
      <c r="BJ23" s="111" t="s">
        <v>775</v>
      </c>
      <c r="BK23" s="111" t="s">
        <v>775</v>
      </c>
      <c r="BL23" s="111" t="s">
        <v>775</v>
      </c>
      <c r="BM23" s="111" t="s">
        <v>775</v>
      </c>
      <c r="BN23" s="111" t="s">
        <v>775</v>
      </c>
      <c r="BO23" s="111" t="s">
        <v>775</v>
      </c>
      <c r="BP23" s="111" t="s">
        <v>775</v>
      </c>
      <c r="BQ23" s="111" t="s">
        <v>775</v>
      </c>
      <c r="BR23" s="111" t="s">
        <v>775</v>
      </c>
      <c r="BS23" s="111" t="s">
        <v>775</v>
      </c>
      <c r="BT23" s="111" t="s">
        <v>775</v>
      </c>
      <c r="BU23" s="111" t="s">
        <v>775</v>
      </c>
      <c r="BV23" s="111" t="s">
        <v>775</v>
      </c>
      <c r="BW23" s="111" t="s">
        <v>775</v>
      </c>
      <c r="BX23" s="111" t="s">
        <v>775</v>
      </c>
      <c r="BY23" s="111" t="s">
        <v>775</v>
      </c>
      <c r="BZ23" s="111" t="s">
        <v>775</v>
      </c>
      <c r="CA23" s="111" t="s">
        <v>775</v>
      </c>
      <c r="CB23" s="111" t="s">
        <v>775</v>
      </c>
      <c r="CC23" s="111" t="s">
        <v>775</v>
      </c>
      <c r="CD23" s="111" t="s">
        <v>775</v>
      </c>
      <c r="CE23" s="111" t="s">
        <v>775</v>
      </c>
      <c r="CF23" s="111" t="s">
        <v>775</v>
      </c>
      <c r="CG23" s="111" t="s">
        <v>775</v>
      </c>
      <c r="CH23" s="111" t="s">
        <v>775</v>
      </c>
      <c r="CI23" s="111" t="s">
        <v>775</v>
      </c>
      <c r="CJ23" s="111" t="s">
        <v>775</v>
      </c>
      <c r="CK23" s="111" t="s">
        <v>775</v>
      </c>
      <c r="CL23" s="111" t="s">
        <v>775</v>
      </c>
      <c r="CM23" s="111" t="s">
        <v>775</v>
      </c>
      <c r="CN23" s="111" t="s">
        <v>775</v>
      </c>
      <c r="CO23" s="111" t="s">
        <v>775</v>
      </c>
      <c r="CP23" s="111" t="s">
        <v>775</v>
      </c>
      <c r="CQ23" s="111" t="s">
        <v>775</v>
      </c>
      <c r="CR23" s="111" t="s">
        <v>775</v>
      </c>
      <c r="CS23" s="111" t="s">
        <v>775</v>
      </c>
      <c r="CT23" s="111" t="s">
        <v>775</v>
      </c>
      <c r="CU23" s="111" t="s">
        <v>775</v>
      </c>
      <c r="CV23" s="111" t="s">
        <v>775</v>
      </c>
      <c r="CW23" s="111" t="s">
        <v>775</v>
      </c>
      <c r="CX23" s="111" t="s">
        <v>775</v>
      </c>
      <c r="CY23" s="111" t="s">
        <v>775</v>
      </c>
      <c r="CZ23" s="111" t="s">
        <v>775</v>
      </c>
      <c r="DA23" s="111" t="s">
        <v>775</v>
      </c>
      <c r="DB23" s="111" t="s">
        <v>775</v>
      </c>
      <c r="DC23" s="111" t="s">
        <v>775</v>
      </c>
      <c r="DD23" s="111" t="s">
        <v>775</v>
      </c>
      <c r="DE23" s="111" t="s">
        <v>776</v>
      </c>
      <c r="DF23" s="111" t="s">
        <v>776</v>
      </c>
      <c r="DG23" s="111" t="s">
        <v>776</v>
      </c>
      <c r="DH23" s="111" t="s">
        <v>776</v>
      </c>
      <c r="DI23" s="111" t="s">
        <v>776</v>
      </c>
      <c r="DJ23" s="111" t="s">
        <v>776</v>
      </c>
      <c r="DK23" s="111" t="s">
        <v>776</v>
      </c>
      <c r="DL23" s="111" t="s">
        <v>776</v>
      </c>
      <c r="DM23" s="111" t="s">
        <v>776</v>
      </c>
      <c r="DN23" s="111" t="s">
        <v>776</v>
      </c>
      <c r="DO23" s="111" t="s">
        <v>776</v>
      </c>
      <c r="DP23" s="111" t="s">
        <v>776</v>
      </c>
      <c r="DQ23" s="111" t="s">
        <v>776</v>
      </c>
      <c r="DR23" s="111" t="s">
        <v>776</v>
      </c>
      <c r="DS23" s="111" t="s">
        <v>776</v>
      </c>
      <c r="DT23" s="111" t="s">
        <v>776</v>
      </c>
      <c r="DU23" s="111" t="s">
        <v>776</v>
      </c>
      <c r="DV23" s="111" t="s">
        <v>776</v>
      </c>
      <c r="DW23" s="111" t="s">
        <v>776</v>
      </c>
      <c r="DX23" s="111" t="s">
        <v>776</v>
      </c>
      <c r="DY23" s="111" t="s">
        <v>748</v>
      </c>
      <c r="DZ23" s="111" t="s">
        <v>748</v>
      </c>
      <c r="EA23" s="111" t="s">
        <v>748</v>
      </c>
      <c r="EB23" s="111" t="s">
        <v>748</v>
      </c>
      <c r="EC23" s="111" t="s">
        <v>748</v>
      </c>
      <c r="ED23" s="111" t="s">
        <v>748</v>
      </c>
      <c r="EE23" s="111" t="s">
        <v>748</v>
      </c>
      <c r="EF23" s="111" t="s">
        <v>748</v>
      </c>
      <c r="EG23" s="111" t="s">
        <v>748</v>
      </c>
      <c r="EH23" s="111" t="s">
        <v>748</v>
      </c>
      <c r="EI23" s="111" t="s">
        <v>748</v>
      </c>
      <c r="EJ23" s="111" t="s">
        <v>748</v>
      </c>
      <c r="EK23" s="111" t="s">
        <v>748</v>
      </c>
      <c r="EL23" s="111" t="s">
        <v>748</v>
      </c>
      <c r="EM23" s="111" t="s">
        <v>771</v>
      </c>
      <c r="EN23" s="111" t="s">
        <v>771</v>
      </c>
      <c r="EO23" s="111" t="s">
        <v>771</v>
      </c>
      <c r="EP23" s="111" t="s">
        <v>771</v>
      </c>
      <c r="EQ23" s="111" t="s">
        <v>771</v>
      </c>
      <c r="ER23" s="111" t="s">
        <v>771</v>
      </c>
      <c r="ES23" s="111" t="s">
        <v>771</v>
      </c>
      <c r="ET23" s="111" t="s">
        <v>771</v>
      </c>
      <c r="EU23" s="111" t="s">
        <v>771</v>
      </c>
      <c r="EV23" s="111" t="s">
        <v>772</v>
      </c>
      <c r="EW23" s="111" t="s">
        <v>772</v>
      </c>
      <c r="EX23" s="111" t="s">
        <v>772</v>
      </c>
      <c r="EY23" s="111" t="s">
        <v>772</v>
      </c>
      <c r="EZ23" s="111" t="s">
        <v>772</v>
      </c>
      <c r="FA23" s="111" t="s">
        <v>777</v>
      </c>
      <c r="FB23" s="111" t="s">
        <v>777</v>
      </c>
      <c r="FC23" s="111" t="s">
        <v>777</v>
      </c>
      <c r="FD23" s="111" t="s">
        <v>777</v>
      </c>
      <c r="FE23" s="111" t="s">
        <v>777</v>
      </c>
      <c r="FF23" s="111" t="s">
        <v>777</v>
      </c>
      <c r="FG23" s="111" t="s">
        <v>777</v>
      </c>
      <c r="FH23" s="111" t="s">
        <v>777</v>
      </c>
      <c r="FI23" s="111" t="s">
        <v>777</v>
      </c>
      <c r="FJ23" s="111" t="s">
        <v>777</v>
      </c>
      <c r="FK23" s="111" t="s">
        <v>777</v>
      </c>
      <c r="FL23" s="111" t="s">
        <v>777</v>
      </c>
      <c r="FM23" s="111" t="s">
        <v>777</v>
      </c>
      <c r="FN23" s="111" t="s">
        <v>777</v>
      </c>
      <c r="FO23" s="111" t="s">
        <v>777</v>
      </c>
      <c r="FP23" s="111" t="s">
        <v>777</v>
      </c>
      <c r="FQ23" s="111" t="s">
        <v>777</v>
      </c>
      <c r="FR23" s="111" t="s">
        <v>777</v>
      </c>
      <c r="FS23" s="111" t="s">
        <v>777</v>
      </c>
      <c r="FT23" s="111" t="s">
        <v>777</v>
      </c>
      <c r="FU23" s="111" t="s">
        <v>777</v>
      </c>
      <c r="FV23" s="111" t="s">
        <v>777</v>
      </c>
      <c r="FW23" s="111" t="s">
        <v>777</v>
      </c>
      <c r="FX23" s="111" t="s">
        <v>777</v>
      </c>
      <c r="FY23" s="111" t="s">
        <v>777</v>
      </c>
      <c r="FZ23" s="111" t="s">
        <v>777</v>
      </c>
      <c r="GA23" s="111" t="s">
        <v>777</v>
      </c>
      <c r="GB23" s="111" t="s">
        <v>777</v>
      </c>
      <c r="GC23" s="111" t="s">
        <v>777</v>
      </c>
      <c r="GD23" s="111" t="s">
        <v>777</v>
      </c>
      <c r="GE23" s="111" t="s">
        <v>777</v>
      </c>
      <c r="GF23" s="111" t="s">
        <v>777</v>
      </c>
      <c r="GG23" s="111" t="s">
        <v>777</v>
      </c>
      <c r="GH23" s="111" t="s">
        <v>777</v>
      </c>
      <c r="GI23" s="111" t="s">
        <v>777</v>
      </c>
      <c r="GJ23" s="111" t="s">
        <v>777</v>
      </c>
      <c r="GK23" s="111" t="s">
        <v>777</v>
      </c>
      <c r="GL23" s="111" t="s">
        <v>777</v>
      </c>
      <c r="GM23" s="111" t="s">
        <v>777</v>
      </c>
      <c r="GN23" s="111" t="s">
        <v>777</v>
      </c>
      <c r="GO23" s="111" t="s">
        <v>777</v>
      </c>
      <c r="GP23" s="111" t="s">
        <v>777</v>
      </c>
      <c r="GQ23" s="111" t="s">
        <v>777</v>
      </c>
      <c r="GR23" s="111" t="s">
        <v>777</v>
      </c>
      <c r="GS23" s="111" t="s">
        <v>777</v>
      </c>
      <c r="GT23" s="111" t="s">
        <v>777</v>
      </c>
      <c r="GU23" s="111" t="s">
        <v>777</v>
      </c>
      <c r="GV23" s="111" t="s">
        <v>777</v>
      </c>
      <c r="GW23" s="111" t="s">
        <v>777</v>
      </c>
      <c r="GX23" s="111" t="s">
        <v>777</v>
      </c>
      <c r="GY23" s="111" t="s">
        <v>777</v>
      </c>
      <c r="GZ23" s="111" t="s">
        <v>777</v>
      </c>
      <c r="HA23" s="111" t="s">
        <v>777</v>
      </c>
      <c r="HB23" s="111" t="s">
        <v>777</v>
      </c>
      <c r="HC23" s="111" t="s">
        <v>777</v>
      </c>
      <c r="HD23" s="111" t="s">
        <v>777</v>
      </c>
      <c r="HE23" s="111" t="s">
        <v>777</v>
      </c>
      <c r="HF23" s="111" t="s">
        <v>777</v>
      </c>
      <c r="HG23" s="111" t="s">
        <v>777</v>
      </c>
      <c r="HH23" s="111" t="s">
        <v>777</v>
      </c>
      <c r="HI23" s="111" t="s">
        <v>777</v>
      </c>
      <c r="HJ23" s="111" t="s">
        <v>777</v>
      </c>
      <c r="HK23" s="111" t="s">
        <v>777</v>
      </c>
      <c r="HL23" s="111" t="s">
        <v>777</v>
      </c>
      <c r="HM23" s="111" t="s">
        <v>777</v>
      </c>
      <c r="HN23" s="111" t="s">
        <v>777</v>
      </c>
      <c r="HO23" s="111" t="s">
        <v>777</v>
      </c>
      <c r="HP23" s="111" t="s">
        <v>777</v>
      </c>
      <c r="HQ23" s="111" t="s">
        <v>777</v>
      </c>
      <c r="HR23" s="111" t="s">
        <v>777</v>
      </c>
      <c r="HS23" s="111" t="s">
        <v>777</v>
      </c>
      <c r="HT23" s="111" t="s">
        <v>777</v>
      </c>
      <c r="HU23" s="111" t="s">
        <v>777</v>
      </c>
      <c r="HV23" s="111" t="s">
        <v>777</v>
      </c>
      <c r="HW23" s="111" t="s">
        <v>777</v>
      </c>
      <c r="HX23" s="111" t="s">
        <v>777</v>
      </c>
      <c r="HY23" s="111" t="s">
        <v>777</v>
      </c>
      <c r="HZ23" s="111" t="s">
        <v>777</v>
      </c>
      <c r="IA23" s="111" t="s">
        <v>777</v>
      </c>
      <c r="IB23" s="111" t="s">
        <v>777</v>
      </c>
      <c r="IC23" s="111" t="s">
        <v>777</v>
      </c>
      <c r="ID23" s="111" t="s">
        <v>777</v>
      </c>
      <c r="IE23" s="111" t="s">
        <v>777</v>
      </c>
      <c r="IF23" s="111" t="s">
        <v>777</v>
      </c>
      <c r="IG23" s="111" t="s">
        <v>777</v>
      </c>
      <c r="IH23" s="111" t="s">
        <v>777</v>
      </c>
      <c r="II23" s="111" t="s">
        <v>777</v>
      </c>
      <c r="IJ23" s="111" t="s">
        <v>777</v>
      </c>
      <c r="IK23" s="111" t="s">
        <v>777</v>
      </c>
      <c r="IL23" s="111" t="s">
        <v>777</v>
      </c>
      <c r="IM23" s="111" t="s">
        <v>777</v>
      </c>
      <c r="IN23" s="111" t="s">
        <v>777</v>
      </c>
      <c r="IO23" s="111" t="s">
        <v>777</v>
      </c>
      <c r="IP23" s="111" t="s">
        <v>777</v>
      </c>
      <c r="IQ23" s="111" t="s">
        <v>777</v>
      </c>
      <c r="IR23" s="111" t="s">
        <v>777</v>
      </c>
      <c r="IS23" s="111" t="s">
        <v>777</v>
      </c>
      <c r="IT23" s="111" t="s">
        <v>777</v>
      </c>
      <c r="IU23" s="111" t="s">
        <v>777</v>
      </c>
      <c r="IV23" s="111" t="s">
        <v>777</v>
      </c>
      <c r="IW23" s="111" t="s">
        <v>777</v>
      </c>
      <c r="IX23" s="111" t="s">
        <v>777</v>
      </c>
      <c r="IY23" s="111" t="s">
        <v>777</v>
      </c>
      <c r="IZ23" s="111" t="s">
        <v>777</v>
      </c>
      <c r="JA23" s="111" t="s">
        <v>777</v>
      </c>
      <c r="JB23" s="111" t="s">
        <v>777</v>
      </c>
      <c r="JC23" s="111" t="s">
        <v>777</v>
      </c>
      <c r="JD23" s="111" t="s">
        <v>777</v>
      </c>
      <c r="JE23" s="111" t="s">
        <v>777</v>
      </c>
      <c r="JF23" s="111" t="s">
        <v>777</v>
      </c>
      <c r="JG23" s="111" t="s">
        <v>777</v>
      </c>
      <c r="JH23" s="111" t="s">
        <v>777</v>
      </c>
      <c r="JI23" s="111" t="s">
        <v>777</v>
      </c>
      <c r="JJ23" s="111" t="s">
        <v>777</v>
      </c>
      <c r="JK23" s="111" t="s">
        <v>777</v>
      </c>
      <c r="JL23" s="111" t="s">
        <v>777</v>
      </c>
      <c r="JM23" s="111" t="s">
        <v>777</v>
      </c>
      <c r="JN23" s="111" t="s">
        <v>777</v>
      </c>
      <c r="JO23" s="111" t="s">
        <v>777</v>
      </c>
      <c r="JP23" s="111" t="s">
        <v>777</v>
      </c>
      <c r="JQ23" s="111" t="s">
        <v>777</v>
      </c>
      <c r="JR23" s="111" t="s">
        <v>777</v>
      </c>
      <c r="JS23" s="111" t="s">
        <v>777</v>
      </c>
      <c r="JT23" s="111" t="s">
        <v>777</v>
      </c>
      <c r="JU23" s="111" t="s">
        <v>777</v>
      </c>
      <c r="JV23" s="111" t="s">
        <v>777</v>
      </c>
      <c r="JW23" s="111" t="s">
        <v>777</v>
      </c>
      <c r="JX23" s="111" t="s">
        <v>777</v>
      </c>
      <c r="JY23" s="111" t="s">
        <v>777</v>
      </c>
      <c r="JZ23" s="111" t="s">
        <v>777</v>
      </c>
      <c r="KA23" s="111" t="s">
        <v>777</v>
      </c>
      <c r="KB23" s="111" t="s">
        <v>777</v>
      </c>
      <c r="KC23" s="111" t="s">
        <v>777</v>
      </c>
      <c r="KD23" s="111" t="s">
        <v>777</v>
      </c>
      <c r="KE23" s="111" t="s">
        <v>777</v>
      </c>
      <c r="KF23" s="111" t="s">
        <v>777</v>
      </c>
      <c r="KG23" s="111" t="s">
        <v>777</v>
      </c>
      <c r="KH23" s="111" t="s">
        <v>777</v>
      </c>
      <c r="KI23" s="111" t="s">
        <v>777</v>
      </c>
      <c r="KJ23" s="111" t="s">
        <v>777</v>
      </c>
      <c r="KK23" s="111" t="s">
        <v>777</v>
      </c>
      <c r="KL23" s="111" t="s">
        <v>777</v>
      </c>
      <c r="KM23" s="111" t="s">
        <v>777</v>
      </c>
      <c r="KN23" s="111" t="s">
        <v>777</v>
      </c>
      <c r="KO23" s="111" t="s">
        <v>777</v>
      </c>
      <c r="KP23" s="111" t="s">
        <v>777</v>
      </c>
      <c r="KQ23" s="111" t="s">
        <v>777</v>
      </c>
      <c r="KR23" s="111" t="s">
        <v>777</v>
      </c>
      <c r="KS23" s="111" t="s">
        <v>777</v>
      </c>
      <c r="KT23" s="111" t="s">
        <v>777</v>
      </c>
      <c r="KU23" s="111" t="s">
        <v>777</v>
      </c>
      <c r="KV23" s="111" t="s">
        <v>777</v>
      </c>
      <c r="KW23" s="111" t="s">
        <v>777</v>
      </c>
      <c r="KX23" s="111" t="s">
        <v>777</v>
      </c>
      <c r="KY23" s="111" t="s">
        <v>777</v>
      </c>
      <c r="KZ23" s="111" t="s">
        <v>777</v>
      </c>
      <c r="LA23" s="111" t="s">
        <v>777</v>
      </c>
      <c r="LB23" s="111" t="s">
        <v>777</v>
      </c>
      <c r="LC23" s="111" t="s">
        <v>773</v>
      </c>
      <c r="LD23" s="111" t="s">
        <v>773</v>
      </c>
      <c r="LE23" s="111" t="s">
        <v>773</v>
      </c>
      <c r="LF23" s="111" t="s">
        <v>773</v>
      </c>
      <c r="LG23" s="111" t="s">
        <v>773</v>
      </c>
      <c r="LH23" s="111" t="s">
        <v>773</v>
      </c>
      <c r="LI23" s="111" t="s">
        <v>773</v>
      </c>
      <c r="LJ23" s="111" t="s">
        <v>773</v>
      </c>
      <c r="LK23" s="111" t="s">
        <v>773</v>
      </c>
      <c r="LL23" s="111" t="s">
        <v>775</v>
      </c>
      <c r="LM23" s="111" t="s">
        <v>775</v>
      </c>
      <c r="LN23" s="111" t="s">
        <v>775</v>
      </c>
      <c r="LO23" s="111" t="s">
        <v>775</v>
      </c>
      <c r="LP23" s="111" t="s">
        <v>775</v>
      </c>
      <c r="LQ23" s="111" t="s">
        <v>775</v>
      </c>
      <c r="LR23" s="111" t="s">
        <v>775</v>
      </c>
      <c r="LS23" s="111" t="s">
        <v>775</v>
      </c>
      <c r="LT23" s="111" t="s">
        <v>775</v>
      </c>
      <c r="LU23" s="111" t="s">
        <v>776</v>
      </c>
      <c r="LV23" s="111" t="s">
        <v>776</v>
      </c>
      <c r="LW23" s="111" t="s">
        <v>776</v>
      </c>
      <c r="LX23" s="111" t="s">
        <v>748</v>
      </c>
      <c r="LY23" s="111" t="s">
        <v>748</v>
      </c>
      <c r="LZ23" s="111" t="s">
        <v>748</v>
      </c>
      <c r="MA23" s="111" t="s">
        <v>748</v>
      </c>
      <c r="MB23" s="111" t="s">
        <v>771</v>
      </c>
      <c r="MC23" s="111" t="s">
        <v>772</v>
      </c>
      <c r="MD23" s="111" t="s">
        <v>777</v>
      </c>
      <c r="ME23" s="111" t="s">
        <v>777</v>
      </c>
      <c r="MF23" s="111" t="s">
        <v>777</v>
      </c>
      <c r="MG23" s="111" t="s">
        <v>777</v>
      </c>
      <c r="MH23" s="111" t="s">
        <v>777</v>
      </c>
      <c r="MI23" s="111" t="s">
        <v>777</v>
      </c>
      <c r="MJ23" s="111" t="s">
        <v>777</v>
      </c>
      <c r="MK23" s="111" t="s">
        <v>777</v>
      </c>
      <c r="ML23" s="111" t="s">
        <v>777</v>
      </c>
      <c r="MM23" s="111" t="s">
        <v>777</v>
      </c>
      <c r="MN23" s="111" t="s">
        <v>773</v>
      </c>
      <c r="MO23" s="111" t="s">
        <v>773</v>
      </c>
      <c r="MP23" s="111" t="s">
        <v>773</v>
      </c>
      <c r="MQ23" s="111" t="s">
        <v>775</v>
      </c>
      <c r="MR23" s="111" t="s">
        <v>775</v>
      </c>
      <c r="MS23" s="111" t="s">
        <v>775</v>
      </c>
      <c r="MT23" s="111" t="s">
        <v>775</v>
      </c>
      <c r="MU23" s="111" t="s">
        <v>775</v>
      </c>
      <c r="MV23" s="111" t="s">
        <v>775</v>
      </c>
      <c r="MW23" s="111" t="s">
        <v>775</v>
      </c>
      <c r="MX23" s="111" t="s">
        <v>775</v>
      </c>
      <c r="MY23" s="111" t="s">
        <v>775</v>
      </c>
      <c r="MZ23" s="111" t="s">
        <v>776</v>
      </c>
      <c r="NA23" s="111" t="s">
        <v>776</v>
      </c>
      <c r="NB23" s="111" t="s">
        <v>776</v>
      </c>
      <c r="NC23" s="111" t="s">
        <v>748</v>
      </c>
      <c r="ND23" s="111" t="s">
        <v>748</v>
      </c>
      <c r="NE23" s="111" t="s">
        <v>748</v>
      </c>
      <c r="NF23" s="111" t="s">
        <v>748</v>
      </c>
      <c r="NG23" s="111" t="s">
        <v>771</v>
      </c>
      <c r="NH23" s="111" t="s">
        <v>772</v>
      </c>
      <c r="NI23" s="111" t="s">
        <v>777</v>
      </c>
      <c r="NJ23" s="111" t="s">
        <v>777</v>
      </c>
      <c r="NK23" s="111" t="s">
        <v>777</v>
      </c>
      <c r="NL23" s="111" t="s">
        <v>777</v>
      </c>
      <c r="NM23" s="111" t="s">
        <v>777</v>
      </c>
      <c r="NN23" s="111" t="s">
        <v>777</v>
      </c>
      <c r="NO23" s="111" t="s">
        <v>777</v>
      </c>
      <c r="NP23" s="111" t="s">
        <v>777</v>
      </c>
      <c r="NQ23" s="111" t="s">
        <v>777</v>
      </c>
      <c r="NR23" s="111" t="s">
        <v>777</v>
      </c>
      <c r="NS23" s="111" t="s">
        <v>773</v>
      </c>
      <c r="NT23" s="111" t="s">
        <v>773</v>
      </c>
      <c r="NU23" s="111" t="s">
        <v>773</v>
      </c>
      <c r="NV23" s="111" t="s">
        <v>775</v>
      </c>
      <c r="NW23" s="111" t="s">
        <v>775</v>
      </c>
      <c r="NX23" s="111" t="s">
        <v>775</v>
      </c>
      <c r="NY23" s="111" t="s">
        <v>775</v>
      </c>
      <c r="NZ23" s="111" t="s">
        <v>775</v>
      </c>
      <c r="OA23" s="111" t="s">
        <v>775</v>
      </c>
      <c r="OB23" s="111" t="s">
        <v>775</v>
      </c>
      <c r="OC23" s="111" t="s">
        <v>775</v>
      </c>
      <c r="OD23" s="111" t="s">
        <v>775</v>
      </c>
      <c r="OE23" s="111" t="s">
        <v>775</v>
      </c>
      <c r="OF23" s="111" t="s">
        <v>748</v>
      </c>
      <c r="OG23" s="111" t="s">
        <v>748</v>
      </c>
      <c r="OH23" s="111" t="s">
        <v>748</v>
      </c>
    </row>
    <row r="24" spans="1:398" ht="34.5" customHeight="1" x14ac:dyDescent="0.35">
      <c r="A24" s="102"/>
      <c r="B24" s="102"/>
      <c r="C24" s="102"/>
      <c r="D24" s="102"/>
      <c r="E24" s="102"/>
      <c r="F24" s="116"/>
      <c r="G24" s="119"/>
      <c r="H24" s="116"/>
      <c r="I24" s="206"/>
      <c r="J24" s="207" t="s">
        <v>940</v>
      </c>
      <c r="K24" s="207" t="s">
        <v>934</v>
      </c>
      <c r="L24" s="206"/>
      <c r="M24" s="207" t="s">
        <v>941</v>
      </c>
      <c r="N24" s="207" t="s">
        <v>935</v>
      </c>
      <c r="O24" s="223" t="s">
        <v>738</v>
      </c>
      <c r="P24" s="224" t="s">
        <v>759</v>
      </c>
      <c r="Q24" s="225" t="s">
        <v>938</v>
      </c>
      <c r="R24" s="227" t="s">
        <v>760</v>
      </c>
      <c r="S24" s="225" t="s">
        <v>939</v>
      </c>
      <c r="T24" s="221"/>
      <c r="U24" s="221"/>
      <c r="V24" s="221"/>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2"/>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c r="CY24" s="111"/>
      <c r="CZ24" s="111"/>
      <c r="DA24" s="111"/>
      <c r="DB24" s="111"/>
      <c r="DC24" s="111"/>
      <c r="DD24" s="111"/>
      <c r="DE24" s="111"/>
      <c r="DF24" s="111"/>
      <c r="DG24" s="111"/>
      <c r="DH24" s="111"/>
      <c r="DI24" s="111"/>
      <c r="DJ24" s="111"/>
      <c r="DK24" s="111"/>
      <c r="DL24" s="111"/>
      <c r="DM24" s="111"/>
      <c r="DN24" s="111"/>
      <c r="DO24" s="111"/>
      <c r="DP24" s="111"/>
      <c r="DQ24" s="111"/>
      <c r="DR24" s="111"/>
      <c r="DS24" s="111"/>
      <c r="DT24" s="111"/>
      <c r="DU24" s="111"/>
      <c r="DV24" s="111"/>
      <c r="DW24" s="111"/>
      <c r="DX24" s="111"/>
      <c r="DY24" s="111"/>
      <c r="DZ24" s="111"/>
      <c r="EA24" s="111"/>
      <c r="EB24" s="111"/>
      <c r="EC24" s="111"/>
      <c r="ED24" s="111"/>
      <c r="EE24" s="111"/>
      <c r="EF24" s="111"/>
      <c r="EG24" s="111"/>
      <c r="EH24" s="111"/>
      <c r="EI24" s="111"/>
      <c r="EJ24" s="111"/>
      <c r="EK24" s="111"/>
      <c r="EL24" s="111"/>
      <c r="EM24" s="111"/>
      <c r="EN24" s="111"/>
      <c r="EO24" s="111"/>
      <c r="EP24" s="111"/>
      <c r="EQ24" s="111"/>
      <c r="ER24" s="111"/>
      <c r="ES24" s="111"/>
      <c r="ET24" s="111"/>
      <c r="EU24" s="111"/>
      <c r="EV24" s="111"/>
      <c r="EW24" s="111"/>
      <c r="EX24" s="111"/>
      <c r="EY24" s="111"/>
      <c r="EZ24" s="111"/>
      <c r="FA24" s="111" t="s">
        <v>778</v>
      </c>
      <c r="FB24" s="111" t="s">
        <v>778</v>
      </c>
      <c r="FC24" s="111" t="s">
        <v>778</v>
      </c>
      <c r="FD24" s="111" t="s">
        <v>778</v>
      </c>
      <c r="FE24" s="111" t="s">
        <v>778</v>
      </c>
      <c r="FF24" s="111" t="s">
        <v>778</v>
      </c>
      <c r="FG24" s="111" t="s">
        <v>778</v>
      </c>
      <c r="FH24" s="111" t="s">
        <v>778</v>
      </c>
      <c r="FI24" s="111" t="s">
        <v>778</v>
      </c>
      <c r="FJ24" s="111" t="s">
        <v>778</v>
      </c>
      <c r="FK24" s="111" t="s">
        <v>778</v>
      </c>
      <c r="FL24" s="111" t="s">
        <v>778</v>
      </c>
      <c r="FM24" s="111" t="s">
        <v>778</v>
      </c>
      <c r="FN24" s="111" t="s">
        <v>778</v>
      </c>
      <c r="FO24" s="111" t="s">
        <v>778</v>
      </c>
      <c r="FP24" s="111" t="s">
        <v>778</v>
      </c>
      <c r="FQ24" s="111" t="s">
        <v>778</v>
      </c>
      <c r="FR24" s="111" t="s">
        <v>778</v>
      </c>
      <c r="FS24" s="111" t="s">
        <v>778</v>
      </c>
      <c r="FT24" s="111" t="s">
        <v>778</v>
      </c>
      <c r="FU24" s="111" t="s">
        <v>778</v>
      </c>
      <c r="FV24" s="111" t="s">
        <v>778</v>
      </c>
      <c r="FW24" s="111" t="s">
        <v>778</v>
      </c>
      <c r="FX24" s="111" t="s">
        <v>778</v>
      </c>
      <c r="FY24" s="111" t="s">
        <v>778</v>
      </c>
      <c r="FZ24" s="111" t="s">
        <v>778</v>
      </c>
      <c r="GA24" s="111" t="s">
        <v>778</v>
      </c>
      <c r="GB24" s="111" t="s">
        <v>778</v>
      </c>
      <c r="GC24" s="111" t="s">
        <v>778</v>
      </c>
      <c r="GD24" s="111" t="s">
        <v>778</v>
      </c>
      <c r="GE24" s="111" t="s">
        <v>778</v>
      </c>
      <c r="GF24" s="111" t="s">
        <v>778</v>
      </c>
      <c r="GG24" s="111" t="s">
        <v>778</v>
      </c>
      <c r="GH24" s="111" t="s">
        <v>778</v>
      </c>
      <c r="GI24" s="111" t="s">
        <v>778</v>
      </c>
      <c r="GJ24" s="111" t="s">
        <v>778</v>
      </c>
      <c r="GK24" s="111" t="s">
        <v>778</v>
      </c>
      <c r="GL24" s="111" t="s">
        <v>778</v>
      </c>
      <c r="GM24" s="111" t="s">
        <v>778</v>
      </c>
      <c r="GN24" s="111" t="s">
        <v>778</v>
      </c>
      <c r="GO24" s="111" t="s">
        <v>778</v>
      </c>
      <c r="GP24" s="111" t="s">
        <v>778</v>
      </c>
      <c r="GQ24" s="111" t="s">
        <v>778</v>
      </c>
      <c r="GR24" s="111" t="s">
        <v>778</v>
      </c>
      <c r="GS24" s="111" t="s">
        <v>778</v>
      </c>
      <c r="GT24" s="111" t="s">
        <v>778</v>
      </c>
      <c r="GU24" s="111" t="s">
        <v>778</v>
      </c>
      <c r="GV24" s="111" t="s">
        <v>778</v>
      </c>
      <c r="GW24" s="111" t="s">
        <v>778</v>
      </c>
      <c r="GX24" s="111" t="s">
        <v>778</v>
      </c>
      <c r="GY24" s="111" t="s">
        <v>778</v>
      </c>
      <c r="GZ24" s="111" t="s">
        <v>778</v>
      </c>
      <c r="HA24" s="111" t="s">
        <v>778</v>
      </c>
      <c r="HB24" s="111" t="s">
        <v>778</v>
      </c>
      <c r="HC24" s="111" t="s">
        <v>778</v>
      </c>
      <c r="HD24" s="111" t="s">
        <v>778</v>
      </c>
      <c r="HE24" s="111" t="s">
        <v>778</v>
      </c>
      <c r="HF24" s="111" t="s">
        <v>778</v>
      </c>
      <c r="HG24" s="111" t="s">
        <v>778</v>
      </c>
      <c r="HH24" s="111" t="s">
        <v>778</v>
      </c>
      <c r="HI24" s="111" t="s">
        <v>778</v>
      </c>
      <c r="HJ24" s="111" t="s">
        <v>778</v>
      </c>
      <c r="HK24" s="111" t="s">
        <v>778</v>
      </c>
      <c r="HL24" s="111" t="s">
        <v>778</v>
      </c>
      <c r="HM24" s="111" t="s">
        <v>778</v>
      </c>
      <c r="HN24" s="111" t="s">
        <v>778</v>
      </c>
      <c r="HO24" s="111" t="s">
        <v>778</v>
      </c>
      <c r="HP24" s="111" t="s">
        <v>778</v>
      </c>
      <c r="HQ24" s="111" t="s">
        <v>778</v>
      </c>
      <c r="HR24" s="111" t="s">
        <v>778</v>
      </c>
      <c r="HS24" s="111" t="s">
        <v>778</v>
      </c>
      <c r="HT24" s="111" t="s">
        <v>778</v>
      </c>
      <c r="HU24" s="111" t="s">
        <v>778</v>
      </c>
      <c r="HV24" s="111" t="s">
        <v>778</v>
      </c>
      <c r="HW24" s="111" t="s">
        <v>778</v>
      </c>
      <c r="HX24" s="111" t="s">
        <v>778</v>
      </c>
      <c r="HY24" s="111" t="s">
        <v>778</v>
      </c>
      <c r="HZ24" s="111" t="s">
        <v>778</v>
      </c>
      <c r="IA24" s="111" t="s">
        <v>778</v>
      </c>
      <c r="IB24" s="111" t="s">
        <v>778</v>
      </c>
      <c r="IC24" s="111" t="s">
        <v>778</v>
      </c>
      <c r="ID24" s="111" t="s">
        <v>778</v>
      </c>
      <c r="IE24" s="111" t="s">
        <v>778</v>
      </c>
      <c r="IF24" s="111" t="s">
        <v>778</v>
      </c>
      <c r="IG24" s="111" t="s">
        <v>778</v>
      </c>
      <c r="IH24" s="111" t="s">
        <v>778</v>
      </c>
      <c r="II24" s="111" t="s">
        <v>778</v>
      </c>
      <c r="IJ24" s="111" t="s">
        <v>778</v>
      </c>
      <c r="IK24" s="111" t="s">
        <v>778</v>
      </c>
      <c r="IL24" s="111" t="s">
        <v>778</v>
      </c>
      <c r="IM24" s="111" t="s">
        <v>778</v>
      </c>
      <c r="IN24" s="111" t="s">
        <v>778</v>
      </c>
      <c r="IO24" s="111" t="s">
        <v>778</v>
      </c>
      <c r="IP24" s="111" t="s">
        <v>778</v>
      </c>
      <c r="IQ24" s="111" t="s">
        <v>778</v>
      </c>
      <c r="IR24" s="111" t="s">
        <v>778</v>
      </c>
      <c r="IS24" s="111" t="s">
        <v>778</v>
      </c>
      <c r="IT24" s="111" t="s">
        <v>778</v>
      </c>
      <c r="IU24" s="111" t="s">
        <v>778</v>
      </c>
      <c r="IV24" s="111" t="s">
        <v>778</v>
      </c>
      <c r="IW24" s="111" t="s">
        <v>778</v>
      </c>
      <c r="IX24" s="111" t="s">
        <v>778</v>
      </c>
      <c r="IY24" s="111" t="s">
        <v>778</v>
      </c>
      <c r="IZ24" s="111" t="s">
        <v>778</v>
      </c>
      <c r="JA24" s="111" t="s">
        <v>778</v>
      </c>
      <c r="JB24" s="111" t="s">
        <v>778</v>
      </c>
      <c r="JC24" s="111" t="s">
        <v>778</v>
      </c>
      <c r="JD24" s="111" t="s">
        <v>778</v>
      </c>
      <c r="JE24" s="111" t="s">
        <v>778</v>
      </c>
      <c r="JF24" s="111" t="s">
        <v>778</v>
      </c>
      <c r="JG24" s="111" t="s">
        <v>778</v>
      </c>
      <c r="JH24" s="111" t="s">
        <v>778</v>
      </c>
      <c r="JI24" s="111" t="s">
        <v>778</v>
      </c>
      <c r="JJ24" s="111" t="s">
        <v>778</v>
      </c>
      <c r="JK24" s="111" t="s">
        <v>778</v>
      </c>
      <c r="JL24" s="111" t="s">
        <v>778</v>
      </c>
      <c r="JM24" s="111" t="s">
        <v>778</v>
      </c>
      <c r="JN24" s="111" t="s">
        <v>779</v>
      </c>
      <c r="JO24" s="111" t="s">
        <v>779</v>
      </c>
      <c r="JP24" s="111" t="s">
        <v>779</v>
      </c>
      <c r="JQ24" s="111" t="s">
        <v>779</v>
      </c>
      <c r="JR24" s="111" t="s">
        <v>779</v>
      </c>
      <c r="JS24" s="111" t="s">
        <v>779</v>
      </c>
      <c r="JT24" s="111" t="s">
        <v>779</v>
      </c>
      <c r="JU24" s="111" t="s">
        <v>779</v>
      </c>
      <c r="JV24" s="111" t="s">
        <v>779</v>
      </c>
      <c r="JW24" s="111" t="s">
        <v>779</v>
      </c>
      <c r="JX24" s="111" t="s">
        <v>779</v>
      </c>
      <c r="JY24" s="111" t="s">
        <v>779</v>
      </c>
      <c r="JZ24" s="111" t="s">
        <v>779</v>
      </c>
      <c r="KA24" s="111" t="s">
        <v>779</v>
      </c>
      <c r="KB24" s="111" t="s">
        <v>779</v>
      </c>
      <c r="KC24" s="111" t="s">
        <v>779</v>
      </c>
      <c r="KD24" s="111" t="s">
        <v>779</v>
      </c>
      <c r="KE24" s="111" t="s">
        <v>779</v>
      </c>
      <c r="KF24" s="111" t="s">
        <v>779</v>
      </c>
      <c r="KG24" s="111" t="s">
        <v>779</v>
      </c>
      <c r="KH24" s="111" t="s">
        <v>779</v>
      </c>
      <c r="KI24" s="111" t="s">
        <v>779</v>
      </c>
      <c r="KJ24" s="111" t="s">
        <v>779</v>
      </c>
      <c r="KK24" s="111" t="s">
        <v>747</v>
      </c>
      <c r="KL24" s="111" t="s">
        <v>747</v>
      </c>
      <c r="KM24" s="111" t="s">
        <v>747</v>
      </c>
      <c r="KN24" s="111" t="s">
        <v>747</v>
      </c>
      <c r="KO24" s="111" t="s">
        <v>747</v>
      </c>
      <c r="KP24" s="111" t="s">
        <v>747</v>
      </c>
      <c r="KQ24" s="111" t="s">
        <v>747</v>
      </c>
      <c r="KR24" s="111" t="s">
        <v>747</v>
      </c>
      <c r="KS24" s="111" t="s">
        <v>747</v>
      </c>
      <c r="KT24" s="111" t="s">
        <v>780</v>
      </c>
      <c r="KU24" s="111" t="s">
        <v>780</v>
      </c>
      <c r="KV24" s="111" t="s">
        <v>780</v>
      </c>
      <c r="KW24" s="111" t="s">
        <v>780</v>
      </c>
      <c r="KX24" s="111" t="s">
        <v>780</v>
      </c>
      <c r="KY24" s="111" t="s">
        <v>780</v>
      </c>
      <c r="KZ24" s="111" t="s">
        <v>780</v>
      </c>
      <c r="LA24" s="111" t="s">
        <v>780</v>
      </c>
      <c r="LB24" s="111" t="s">
        <v>780</v>
      </c>
      <c r="LC24" s="111"/>
      <c r="LD24" s="111"/>
      <c r="LE24" s="111"/>
      <c r="LF24" s="111"/>
      <c r="LG24" s="111"/>
      <c r="LH24" s="111"/>
      <c r="LI24" s="111"/>
      <c r="LJ24" s="111"/>
      <c r="LK24" s="111"/>
      <c r="LL24" s="111"/>
      <c r="LM24" s="111"/>
      <c r="LN24" s="111"/>
      <c r="LO24" s="111"/>
      <c r="LP24" s="111"/>
      <c r="LQ24" s="111"/>
      <c r="LR24" s="111"/>
      <c r="LS24" s="111"/>
      <c r="LT24" s="111"/>
      <c r="LU24" s="111"/>
      <c r="LV24" s="111"/>
      <c r="LW24" s="111"/>
      <c r="LX24" s="111"/>
      <c r="LY24" s="111"/>
      <c r="LZ24" s="111"/>
      <c r="MA24" s="111"/>
      <c r="MB24" s="111"/>
      <c r="MC24" s="111"/>
      <c r="MD24" s="111" t="s">
        <v>778</v>
      </c>
      <c r="ME24" s="111" t="s">
        <v>778</v>
      </c>
      <c r="MF24" s="111" t="s">
        <v>778</v>
      </c>
      <c r="MG24" s="111" t="s">
        <v>779</v>
      </c>
      <c r="MH24" s="111" t="s">
        <v>779</v>
      </c>
      <c r="MI24" s="111" t="s">
        <v>779</v>
      </c>
      <c r="MJ24" s="111" t="s">
        <v>747</v>
      </c>
      <c r="MK24" s="111" t="s">
        <v>747</v>
      </c>
      <c r="ML24" s="111" t="s">
        <v>780</v>
      </c>
      <c r="MM24" s="111" t="s">
        <v>780</v>
      </c>
      <c r="MN24" s="111"/>
      <c r="MO24" s="111"/>
      <c r="MP24" s="111"/>
      <c r="MQ24" s="111"/>
      <c r="MR24" s="111"/>
      <c r="MS24" s="111"/>
      <c r="MT24" s="111"/>
      <c r="MU24" s="111"/>
      <c r="MV24" s="111"/>
      <c r="MW24" s="111"/>
      <c r="MX24" s="111"/>
      <c r="MY24" s="111"/>
      <c r="MZ24" s="111"/>
      <c r="NA24" s="111"/>
      <c r="NB24" s="111"/>
      <c r="NC24" s="111"/>
      <c r="ND24" s="111"/>
      <c r="NE24" s="111"/>
      <c r="NF24" s="111"/>
      <c r="NG24" s="111"/>
      <c r="NH24" s="111"/>
      <c r="NI24" s="111" t="s">
        <v>778</v>
      </c>
      <c r="NJ24" s="111" t="s">
        <v>778</v>
      </c>
      <c r="NK24" s="111" t="s">
        <v>778</v>
      </c>
      <c r="NL24" s="111" t="s">
        <v>779</v>
      </c>
      <c r="NM24" s="111" t="s">
        <v>779</v>
      </c>
      <c r="NN24" s="111" t="s">
        <v>779</v>
      </c>
      <c r="NO24" s="111" t="s">
        <v>747</v>
      </c>
      <c r="NP24" s="111" t="s">
        <v>747</v>
      </c>
      <c r="NQ24" s="111" t="s">
        <v>780</v>
      </c>
      <c r="NR24" s="111" t="s">
        <v>780</v>
      </c>
      <c r="NS24" s="111"/>
      <c r="NT24" s="111"/>
      <c r="NU24" s="111"/>
      <c r="NV24" s="111"/>
      <c r="NW24" s="111"/>
      <c r="NX24" s="111"/>
      <c r="NY24" s="111"/>
      <c r="NZ24" s="111"/>
      <c r="OA24" s="111"/>
      <c r="OB24" s="111"/>
      <c r="OC24" s="111"/>
      <c r="OD24" s="111"/>
      <c r="OE24" s="111"/>
      <c r="OF24" s="111"/>
      <c r="OG24" s="111"/>
      <c r="OH24" s="111"/>
    </row>
    <row r="25" spans="1:398" ht="83.25" customHeight="1" x14ac:dyDescent="0.35">
      <c r="A25" s="102"/>
      <c r="B25" s="102"/>
      <c r="C25" s="102"/>
      <c r="D25" s="102"/>
      <c r="E25" s="102"/>
      <c r="F25" s="116"/>
      <c r="G25" s="119"/>
      <c r="H25" s="121"/>
      <c r="I25" s="206"/>
      <c r="J25" s="223"/>
      <c r="K25" s="223"/>
      <c r="L25" s="206"/>
      <c r="M25" s="223"/>
      <c r="N25" s="223"/>
      <c r="O25" s="223"/>
      <c r="P25" s="224"/>
      <c r="Q25" s="225"/>
      <c r="R25" s="227"/>
      <c r="S25" s="225"/>
      <c r="T25" s="230" t="s">
        <v>775</v>
      </c>
      <c r="U25" s="230"/>
      <c r="V25" s="230"/>
      <c r="W25" s="231"/>
      <c r="X25" s="232" t="s">
        <v>776</v>
      </c>
      <c r="Y25" s="230"/>
      <c r="Z25" s="230"/>
      <c r="AA25" s="230"/>
      <c r="AB25" s="217" t="s">
        <v>748</v>
      </c>
      <c r="AC25" s="217"/>
      <c r="AD25" s="217"/>
      <c r="AE25" s="217"/>
      <c r="AF25" s="217" t="s">
        <v>771</v>
      </c>
      <c r="AG25" s="217"/>
      <c r="AH25" s="217"/>
      <c r="AI25" s="217"/>
      <c r="AJ25" s="217" t="s">
        <v>772</v>
      </c>
      <c r="AK25" s="217"/>
      <c r="AL25" s="217"/>
      <c r="AM25" s="217"/>
      <c r="AN25" s="217" t="s">
        <v>942</v>
      </c>
      <c r="AO25" s="217"/>
      <c r="AP25" s="217"/>
      <c r="AQ25" s="217"/>
      <c r="AR25" s="217" t="s">
        <v>773</v>
      </c>
      <c r="AS25" s="217"/>
      <c r="AT25" s="217"/>
      <c r="AU25" s="217"/>
      <c r="AV25" s="217" t="s">
        <v>774</v>
      </c>
      <c r="AW25" s="217"/>
      <c r="AX25" s="217"/>
      <c r="AY25" s="217"/>
      <c r="AZ25" s="111" t="s">
        <v>782</v>
      </c>
      <c r="BA25" s="111" t="s">
        <v>782</v>
      </c>
      <c r="BB25" s="111" t="s">
        <v>782</v>
      </c>
      <c r="BC25" s="111" t="s">
        <v>782</v>
      </c>
      <c r="BD25" s="111" t="s">
        <v>782</v>
      </c>
      <c r="BE25" s="111" t="s">
        <v>782</v>
      </c>
      <c r="BF25" s="111" t="s">
        <v>782</v>
      </c>
      <c r="BG25" s="111" t="s">
        <v>782</v>
      </c>
      <c r="BH25" s="111" t="s">
        <v>782</v>
      </c>
      <c r="BI25" s="111" t="s">
        <v>782</v>
      </c>
      <c r="BJ25" s="111" t="s">
        <v>782</v>
      </c>
      <c r="BK25" s="111" t="s">
        <v>782</v>
      </c>
      <c r="BL25" s="111" t="s">
        <v>782</v>
      </c>
      <c r="BM25" s="111" t="s">
        <v>782</v>
      </c>
      <c r="BN25" s="111" t="s">
        <v>782</v>
      </c>
      <c r="BO25" s="111" t="s">
        <v>782</v>
      </c>
      <c r="BP25" s="111" t="s">
        <v>782</v>
      </c>
      <c r="BQ25" s="111" t="s">
        <v>782</v>
      </c>
      <c r="BR25" s="111" t="s">
        <v>782</v>
      </c>
      <c r="BS25" s="111" t="s">
        <v>782</v>
      </c>
      <c r="BT25" s="111" t="s">
        <v>782</v>
      </c>
      <c r="BU25" s="111" t="s">
        <v>783</v>
      </c>
      <c r="BV25" s="111" t="s">
        <v>783</v>
      </c>
      <c r="BW25" s="111" t="s">
        <v>783</v>
      </c>
      <c r="BX25" s="111" t="s">
        <v>783</v>
      </c>
      <c r="BY25" s="111" t="s">
        <v>783</v>
      </c>
      <c r="BZ25" s="111" t="s">
        <v>783</v>
      </c>
      <c r="CA25" s="111" t="s">
        <v>783</v>
      </c>
      <c r="CB25" s="111" t="s">
        <v>783</v>
      </c>
      <c r="CC25" s="111" t="s">
        <v>783</v>
      </c>
      <c r="CD25" s="111" t="s">
        <v>783</v>
      </c>
      <c r="CE25" s="111" t="s">
        <v>783</v>
      </c>
      <c r="CF25" s="111" t="s">
        <v>783</v>
      </c>
      <c r="CG25" s="111" t="s">
        <v>784</v>
      </c>
      <c r="CH25" s="111" t="s">
        <v>784</v>
      </c>
      <c r="CI25" s="111" t="s">
        <v>784</v>
      </c>
      <c r="CJ25" s="111" t="s">
        <v>945</v>
      </c>
      <c r="CK25" s="111" t="s">
        <v>945</v>
      </c>
      <c r="CL25" s="111" t="s">
        <v>945</v>
      </c>
      <c r="CM25" s="111" t="s">
        <v>786</v>
      </c>
      <c r="CN25" s="111" t="s">
        <v>786</v>
      </c>
      <c r="CO25" s="111" t="s">
        <v>786</v>
      </c>
      <c r="CP25" s="111" t="s">
        <v>787</v>
      </c>
      <c r="CQ25" s="111" t="s">
        <v>787</v>
      </c>
      <c r="CR25" s="111" t="s">
        <v>787</v>
      </c>
      <c r="CS25" s="111" t="s">
        <v>788</v>
      </c>
      <c r="CT25" s="111" t="s">
        <v>788</v>
      </c>
      <c r="CU25" s="111" t="s">
        <v>788</v>
      </c>
      <c r="CV25" s="111" t="s">
        <v>789</v>
      </c>
      <c r="CW25" s="111" t="s">
        <v>789</v>
      </c>
      <c r="CX25" s="111" t="s">
        <v>789</v>
      </c>
      <c r="CY25" s="111" t="s">
        <v>790</v>
      </c>
      <c r="CZ25" s="111" t="s">
        <v>790</v>
      </c>
      <c r="DA25" s="111" t="s">
        <v>790</v>
      </c>
      <c r="DB25" s="111" t="s">
        <v>791</v>
      </c>
      <c r="DC25" s="111" t="s">
        <v>791</v>
      </c>
      <c r="DD25" s="111" t="s">
        <v>791</v>
      </c>
      <c r="DE25" s="111" t="s">
        <v>782</v>
      </c>
      <c r="DF25" s="111" t="s">
        <v>782</v>
      </c>
      <c r="DG25" s="111" t="s">
        <v>782</v>
      </c>
      <c r="DH25" s="111" t="s">
        <v>782</v>
      </c>
      <c r="DI25" s="111" t="s">
        <v>782</v>
      </c>
      <c r="DJ25" s="111" t="s">
        <v>783</v>
      </c>
      <c r="DK25" s="111" t="s">
        <v>783</v>
      </c>
      <c r="DL25" s="111" t="s">
        <v>783</v>
      </c>
      <c r="DM25" s="111" t="s">
        <v>783</v>
      </c>
      <c r="DN25" s="111" t="s">
        <v>786</v>
      </c>
      <c r="DO25" s="111" t="s">
        <v>786</v>
      </c>
      <c r="DP25" s="111" t="s">
        <v>787</v>
      </c>
      <c r="DQ25" s="111" t="s">
        <v>787</v>
      </c>
      <c r="DR25" s="111" t="s">
        <v>792</v>
      </c>
      <c r="DS25" s="111" t="s">
        <v>792</v>
      </c>
      <c r="DT25" s="111" t="s">
        <v>792</v>
      </c>
      <c r="DU25" s="111" t="s">
        <v>792</v>
      </c>
      <c r="DV25" s="111" t="s">
        <v>792</v>
      </c>
      <c r="DW25" s="111" t="s">
        <v>791</v>
      </c>
      <c r="DX25" s="111" t="s">
        <v>793</v>
      </c>
      <c r="DY25" s="111" t="s">
        <v>782</v>
      </c>
      <c r="DZ25" s="111" t="s">
        <v>783</v>
      </c>
      <c r="EA25" s="111" t="s">
        <v>783</v>
      </c>
      <c r="EB25" s="111" t="s">
        <v>783</v>
      </c>
      <c r="EC25" s="111" t="s">
        <v>783</v>
      </c>
      <c r="ED25" s="111" t="s">
        <v>784</v>
      </c>
      <c r="EE25" s="111" t="s">
        <v>945</v>
      </c>
      <c r="EF25" s="111" t="s">
        <v>786</v>
      </c>
      <c r="EG25" s="111" t="s">
        <v>790</v>
      </c>
      <c r="EH25" s="111" t="s">
        <v>787</v>
      </c>
      <c r="EI25" s="111" t="s">
        <v>788</v>
      </c>
      <c r="EJ25" s="111" t="s">
        <v>789</v>
      </c>
      <c r="EK25" s="111" t="s">
        <v>791</v>
      </c>
      <c r="EL25" s="111" t="s">
        <v>794</v>
      </c>
      <c r="EM25" s="111"/>
      <c r="EN25" s="111"/>
      <c r="EO25" s="111"/>
      <c r="EP25" s="111"/>
      <c r="EQ25" s="111"/>
      <c r="ER25" s="111"/>
      <c r="ES25" s="111"/>
      <c r="ET25" s="111"/>
      <c r="EU25" s="111"/>
      <c r="EV25" s="111"/>
      <c r="EW25" s="111"/>
      <c r="EX25" s="111"/>
      <c r="EY25" s="111"/>
      <c r="EZ25" s="111"/>
      <c r="FA25" s="111" t="s">
        <v>782</v>
      </c>
      <c r="FB25" s="111" t="s">
        <v>782</v>
      </c>
      <c r="FC25" s="111" t="s">
        <v>782</v>
      </c>
      <c r="FD25" s="111" t="s">
        <v>782</v>
      </c>
      <c r="FE25" s="111" t="s">
        <v>782</v>
      </c>
      <c r="FF25" s="111" t="s">
        <v>782</v>
      </c>
      <c r="FG25" s="111" t="s">
        <v>782</v>
      </c>
      <c r="FH25" s="111" t="s">
        <v>782</v>
      </c>
      <c r="FI25" s="111" t="s">
        <v>782</v>
      </c>
      <c r="FJ25" s="111" t="s">
        <v>782</v>
      </c>
      <c r="FK25" s="111" t="s">
        <v>782</v>
      </c>
      <c r="FL25" s="111" t="s">
        <v>782</v>
      </c>
      <c r="FM25" s="111" t="s">
        <v>782</v>
      </c>
      <c r="FN25" s="111" t="s">
        <v>782</v>
      </c>
      <c r="FO25" s="111" t="s">
        <v>782</v>
      </c>
      <c r="FP25" s="111" t="s">
        <v>782</v>
      </c>
      <c r="FQ25" s="111" t="s">
        <v>782</v>
      </c>
      <c r="FR25" s="111" t="s">
        <v>782</v>
      </c>
      <c r="FS25" s="111" t="s">
        <v>782</v>
      </c>
      <c r="FT25" s="111" t="s">
        <v>782</v>
      </c>
      <c r="FU25" s="111" t="s">
        <v>782</v>
      </c>
      <c r="FV25" s="111" t="s">
        <v>782</v>
      </c>
      <c r="FW25" s="111" t="s">
        <v>782</v>
      </c>
      <c r="FX25" s="111" t="s">
        <v>782</v>
      </c>
      <c r="FY25" s="111" t="s">
        <v>782</v>
      </c>
      <c r="FZ25" s="111" t="s">
        <v>782</v>
      </c>
      <c r="GA25" s="111" t="s">
        <v>782</v>
      </c>
      <c r="GB25" s="111" t="s">
        <v>782</v>
      </c>
      <c r="GC25" s="111" t="s">
        <v>782</v>
      </c>
      <c r="GD25" s="111" t="s">
        <v>782</v>
      </c>
      <c r="GE25" s="111" t="s">
        <v>782</v>
      </c>
      <c r="GF25" s="111" t="s">
        <v>782</v>
      </c>
      <c r="GG25" s="111" t="s">
        <v>782</v>
      </c>
      <c r="GH25" s="111" t="s">
        <v>782</v>
      </c>
      <c r="GI25" s="111" t="s">
        <v>782</v>
      </c>
      <c r="GJ25" s="111" t="s">
        <v>782</v>
      </c>
      <c r="GK25" s="111" t="s">
        <v>782</v>
      </c>
      <c r="GL25" s="111" t="s">
        <v>782</v>
      </c>
      <c r="GM25" s="111" t="s">
        <v>782</v>
      </c>
      <c r="GN25" s="111" t="s">
        <v>782</v>
      </c>
      <c r="GO25" s="111" t="s">
        <v>782</v>
      </c>
      <c r="GP25" s="111" t="s">
        <v>782</v>
      </c>
      <c r="GQ25" s="111" t="s">
        <v>782</v>
      </c>
      <c r="GR25" s="111" t="s">
        <v>782</v>
      </c>
      <c r="GS25" s="111" t="s">
        <v>782</v>
      </c>
      <c r="GT25" s="111" t="s">
        <v>782</v>
      </c>
      <c r="GU25" s="111" t="s">
        <v>782</v>
      </c>
      <c r="GV25" s="111" t="s">
        <v>782</v>
      </c>
      <c r="GW25" s="111" t="s">
        <v>782</v>
      </c>
      <c r="GX25" s="111" t="s">
        <v>782</v>
      </c>
      <c r="GY25" s="111" t="s">
        <v>782</v>
      </c>
      <c r="GZ25" s="111" t="s">
        <v>782</v>
      </c>
      <c r="HA25" s="111" t="s">
        <v>782</v>
      </c>
      <c r="HB25" s="111" t="s">
        <v>782</v>
      </c>
      <c r="HC25" s="111" t="s">
        <v>782</v>
      </c>
      <c r="HD25" s="111" t="s">
        <v>782</v>
      </c>
      <c r="HE25" s="111" t="s">
        <v>782</v>
      </c>
      <c r="HF25" s="111" t="s">
        <v>782</v>
      </c>
      <c r="HG25" s="111" t="s">
        <v>782</v>
      </c>
      <c r="HH25" s="111" t="s">
        <v>782</v>
      </c>
      <c r="HI25" s="111" t="s">
        <v>782</v>
      </c>
      <c r="HJ25" s="111" t="s">
        <v>782</v>
      </c>
      <c r="HK25" s="111" t="s">
        <v>782</v>
      </c>
      <c r="HL25" s="111" t="s">
        <v>782</v>
      </c>
      <c r="HM25" s="111" t="s">
        <v>782</v>
      </c>
      <c r="HN25" s="111" t="s">
        <v>782</v>
      </c>
      <c r="HO25" s="111" t="s">
        <v>782</v>
      </c>
      <c r="HP25" s="111" t="s">
        <v>782</v>
      </c>
      <c r="HQ25" s="111" t="s">
        <v>782</v>
      </c>
      <c r="HR25" s="111" t="s">
        <v>782</v>
      </c>
      <c r="HS25" s="111" t="s">
        <v>782</v>
      </c>
      <c r="HT25" s="111" t="s">
        <v>782</v>
      </c>
      <c r="HU25" s="111" t="s">
        <v>782</v>
      </c>
      <c r="HV25" s="111" t="s">
        <v>782</v>
      </c>
      <c r="HW25" s="111" t="s">
        <v>782</v>
      </c>
      <c r="HX25" s="111" t="s">
        <v>782</v>
      </c>
      <c r="HY25" s="111" t="s">
        <v>782</v>
      </c>
      <c r="HZ25" s="111" t="s">
        <v>782</v>
      </c>
      <c r="IA25" s="111" t="s">
        <v>782</v>
      </c>
      <c r="IB25" s="111" t="s">
        <v>782</v>
      </c>
      <c r="IC25" s="111" t="s">
        <v>782</v>
      </c>
      <c r="ID25" s="111" t="s">
        <v>783</v>
      </c>
      <c r="IE25" s="111" t="s">
        <v>783</v>
      </c>
      <c r="IF25" s="111" t="s">
        <v>783</v>
      </c>
      <c r="IG25" s="111" t="s">
        <v>783</v>
      </c>
      <c r="IH25" s="111" t="s">
        <v>783</v>
      </c>
      <c r="II25" s="111" t="s">
        <v>783</v>
      </c>
      <c r="IJ25" s="111" t="s">
        <v>783</v>
      </c>
      <c r="IK25" s="111" t="s">
        <v>783</v>
      </c>
      <c r="IL25" s="111" t="s">
        <v>783</v>
      </c>
      <c r="IM25" s="111" t="s">
        <v>783</v>
      </c>
      <c r="IN25" s="111" t="s">
        <v>783</v>
      </c>
      <c r="IO25" s="111" t="s">
        <v>783</v>
      </c>
      <c r="IP25" s="111" t="s">
        <v>784</v>
      </c>
      <c r="IQ25" s="111" t="s">
        <v>784</v>
      </c>
      <c r="IR25" s="111" t="s">
        <v>784</v>
      </c>
      <c r="IS25" s="111" t="s">
        <v>785</v>
      </c>
      <c r="IT25" s="111" t="s">
        <v>785</v>
      </c>
      <c r="IU25" s="111" t="s">
        <v>785</v>
      </c>
      <c r="IV25" s="111" t="s">
        <v>786</v>
      </c>
      <c r="IW25" s="111" t="s">
        <v>786</v>
      </c>
      <c r="IX25" s="111" t="s">
        <v>786</v>
      </c>
      <c r="IY25" s="111" t="s">
        <v>787</v>
      </c>
      <c r="IZ25" s="111" t="s">
        <v>787</v>
      </c>
      <c r="JA25" s="111" t="s">
        <v>787</v>
      </c>
      <c r="JB25" s="111" t="s">
        <v>788</v>
      </c>
      <c r="JC25" s="111" t="s">
        <v>788</v>
      </c>
      <c r="JD25" s="111" t="s">
        <v>788</v>
      </c>
      <c r="JE25" s="111" t="s">
        <v>789</v>
      </c>
      <c r="JF25" s="111" t="s">
        <v>789</v>
      </c>
      <c r="JG25" s="111" t="s">
        <v>789</v>
      </c>
      <c r="JH25" s="111" t="s">
        <v>790</v>
      </c>
      <c r="JI25" s="111" t="s">
        <v>790</v>
      </c>
      <c r="JJ25" s="111" t="s">
        <v>790</v>
      </c>
      <c r="JK25" s="111" t="s">
        <v>791</v>
      </c>
      <c r="JL25" s="111" t="s">
        <v>791</v>
      </c>
      <c r="JM25" s="111" t="s">
        <v>791</v>
      </c>
      <c r="JN25" s="111" t="s">
        <v>782</v>
      </c>
      <c r="JO25" s="111" t="s">
        <v>782</v>
      </c>
      <c r="JP25" s="111" t="s">
        <v>782</v>
      </c>
      <c r="JQ25" s="111" t="s">
        <v>782</v>
      </c>
      <c r="JR25" s="111" t="s">
        <v>782</v>
      </c>
      <c r="JS25" s="111" t="s">
        <v>782</v>
      </c>
      <c r="JT25" s="111" t="s">
        <v>774</v>
      </c>
      <c r="JU25" s="111" t="s">
        <v>774</v>
      </c>
      <c r="JV25" s="111" t="s">
        <v>774</v>
      </c>
      <c r="JW25" s="111" t="s">
        <v>774</v>
      </c>
      <c r="JX25" s="111" t="s">
        <v>774</v>
      </c>
      <c r="JY25" s="111" t="s">
        <v>774</v>
      </c>
      <c r="JZ25" s="111" t="s">
        <v>782</v>
      </c>
      <c r="KA25" s="111" t="s">
        <v>782</v>
      </c>
      <c r="KB25" s="111" t="s">
        <v>782</v>
      </c>
      <c r="KC25" s="111" t="s">
        <v>782</v>
      </c>
      <c r="KD25" s="111" t="s">
        <v>782</v>
      </c>
      <c r="KE25" s="111" t="s">
        <v>795</v>
      </c>
      <c r="KF25" s="111" t="s">
        <v>795</v>
      </c>
      <c r="KG25" s="111" t="s">
        <v>792</v>
      </c>
      <c r="KH25" s="111" t="s">
        <v>792</v>
      </c>
      <c r="KI25" s="111" t="s">
        <v>774</v>
      </c>
      <c r="KJ25" s="111" t="s">
        <v>774</v>
      </c>
      <c r="KK25" s="111" t="s">
        <v>782</v>
      </c>
      <c r="KL25" s="111" t="s">
        <v>782</v>
      </c>
      <c r="KM25" s="111" t="s">
        <v>782</v>
      </c>
      <c r="KN25" s="111" t="s">
        <v>786</v>
      </c>
      <c r="KO25" s="111" t="s">
        <v>786</v>
      </c>
      <c r="KP25" s="111" t="s">
        <v>786</v>
      </c>
      <c r="KQ25" s="111" t="s">
        <v>774</v>
      </c>
      <c r="KR25" s="111" t="s">
        <v>774</v>
      </c>
      <c r="KS25" s="111" t="s">
        <v>774</v>
      </c>
      <c r="KT25" s="111" t="s">
        <v>782</v>
      </c>
      <c r="KU25" s="111" t="s">
        <v>782</v>
      </c>
      <c r="KV25" s="111" t="s">
        <v>782</v>
      </c>
      <c r="KW25" s="111" t="s">
        <v>786</v>
      </c>
      <c r="KX25" s="111" t="s">
        <v>786</v>
      </c>
      <c r="KY25" s="111" t="s">
        <v>786</v>
      </c>
      <c r="KZ25" s="111" t="s">
        <v>774</v>
      </c>
      <c r="LA25" s="111" t="s">
        <v>774</v>
      </c>
      <c r="LB25" s="111" t="s">
        <v>774</v>
      </c>
      <c r="LC25" s="111" t="s">
        <v>796</v>
      </c>
      <c r="LD25" s="111" t="s">
        <v>796</v>
      </c>
      <c r="LE25" s="111" t="s">
        <v>796</v>
      </c>
      <c r="LF25" s="111" t="s">
        <v>795</v>
      </c>
      <c r="LG25" s="111" t="s">
        <v>795</v>
      </c>
      <c r="LH25" s="111" t="s">
        <v>795</v>
      </c>
      <c r="LI25" s="111" t="s">
        <v>774</v>
      </c>
      <c r="LJ25" s="111" t="s">
        <v>774</v>
      </c>
      <c r="LK25" s="111" t="s">
        <v>774</v>
      </c>
      <c r="LL25" s="111" t="s">
        <v>782</v>
      </c>
      <c r="LM25" s="111" t="s">
        <v>782</v>
      </c>
      <c r="LN25" s="111" t="s">
        <v>782</v>
      </c>
      <c r="LO25" s="111" t="s">
        <v>795</v>
      </c>
      <c r="LP25" s="111" t="s">
        <v>795</v>
      </c>
      <c r="LQ25" s="111" t="s">
        <v>795</v>
      </c>
      <c r="LR25" s="111" t="s">
        <v>774</v>
      </c>
      <c r="LS25" s="111" t="s">
        <v>774</v>
      </c>
      <c r="LT25" s="111" t="s">
        <v>774</v>
      </c>
      <c r="LU25" s="111" t="s">
        <v>782</v>
      </c>
      <c r="LV25" s="111" t="s">
        <v>795</v>
      </c>
      <c r="LW25" s="111" t="s">
        <v>774</v>
      </c>
      <c r="LX25" s="111" t="s">
        <v>782</v>
      </c>
      <c r="LY25" s="111" t="s">
        <v>795</v>
      </c>
      <c r="LZ25" s="111" t="s">
        <v>774</v>
      </c>
      <c r="MA25" s="111" t="s">
        <v>794</v>
      </c>
      <c r="MB25" s="111" t="s">
        <v>782</v>
      </c>
      <c r="MC25" s="111" t="s">
        <v>795</v>
      </c>
      <c r="MD25" s="111" t="s">
        <v>782</v>
      </c>
      <c r="ME25" s="111" t="s">
        <v>795</v>
      </c>
      <c r="MF25" s="111" t="s">
        <v>774</v>
      </c>
      <c r="MG25" s="111" t="s">
        <v>782</v>
      </c>
      <c r="MH25" s="111" t="s">
        <v>795</v>
      </c>
      <c r="MI25" s="111" t="s">
        <v>774</v>
      </c>
      <c r="MJ25" s="111" t="s">
        <v>782</v>
      </c>
      <c r="MK25" s="111" t="s">
        <v>774</v>
      </c>
      <c r="ML25" s="111" t="s">
        <v>782</v>
      </c>
      <c r="MM25" s="111" t="s">
        <v>774</v>
      </c>
      <c r="MN25" s="111" t="s">
        <v>782</v>
      </c>
      <c r="MO25" s="111" t="s">
        <v>795</v>
      </c>
      <c r="MP25" s="111" t="s">
        <v>774</v>
      </c>
      <c r="MQ25" s="111" t="s">
        <v>782</v>
      </c>
      <c r="MR25" s="111" t="s">
        <v>782</v>
      </c>
      <c r="MS25" s="111" t="s">
        <v>782</v>
      </c>
      <c r="MT25" s="111" t="s">
        <v>795</v>
      </c>
      <c r="MU25" s="111" t="s">
        <v>795</v>
      </c>
      <c r="MV25" s="111" t="s">
        <v>795</v>
      </c>
      <c r="MW25" s="111" t="s">
        <v>774</v>
      </c>
      <c r="MX25" s="111" t="s">
        <v>774</v>
      </c>
      <c r="MY25" s="111" t="s">
        <v>774</v>
      </c>
      <c r="MZ25" s="111" t="s">
        <v>782</v>
      </c>
      <c r="NA25" s="111" t="s">
        <v>795</v>
      </c>
      <c r="NB25" s="111" t="s">
        <v>774</v>
      </c>
      <c r="NC25" s="111" t="s">
        <v>782</v>
      </c>
      <c r="ND25" s="111" t="s">
        <v>795</v>
      </c>
      <c r="NE25" s="111" t="s">
        <v>774</v>
      </c>
      <c r="NF25" s="111" t="s">
        <v>794</v>
      </c>
      <c r="NG25" s="111" t="s">
        <v>782</v>
      </c>
      <c r="NH25" s="111" t="s">
        <v>795</v>
      </c>
      <c r="NI25" s="111" t="s">
        <v>782</v>
      </c>
      <c r="NJ25" s="111" t="s">
        <v>795</v>
      </c>
      <c r="NK25" s="111" t="s">
        <v>774</v>
      </c>
      <c r="NL25" s="111" t="s">
        <v>782</v>
      </c>
      <c r="NM25" s="111" t="s">
        <v>795</v>
      </c>
      <c r="NN25" s="111" t="s">
        <v>774</v>
      </c>
      <c r="NO25" s="111" t="s">
        <v>782</v>
      </c>
      <c r="NP25" s="111" t="s">
        <v>774</v>
      </c>
      <c r="NQ25" s="111" t="s">
        <v>782</v>
      </c>
      <c r="NR25" s="111" t="s">
        <v>774</v>
      </c>
      <c r="NS25" s="111" t="s">
        <v>782</v>
      </c>
      <c r="NT25" s="111" t="s">
        <v>795</v>
      </c>
      <c r="NU25" s="111" t="s">
        <v>774</v>
      </c>
      <c r="NV25" s="111" t="s">
        <v>782</v>
      </c>
      <c r="NW25" s="111" t="s">
        <v>782</v>
      </c>
      <c r="NX25" s="111" t="s">
        <v>782</v>
      </c>
      <c r="NY25" s="111" t="s">
        <v>782</v>
      </c>
      <c r="NZ25" s="111" t="s">
        <v>795</v>
      </c>
      <c r="OA25" s="111" t="s">
        <v>795</v>
      </c>
      <c r="OB25" s="111" t="s">
        <v>795</v>
      </c>
      <c r="OC25" s="111" t="s">
        <v>774</v>
      </c>
      <c r="OD25" s="111" t="s">
        <v>774</v>
      </c>
      <c r="OE25" s="111" t="s">
        <v>774</v>
      </c>
      <c r="OF25" s="111" t="s">
        <v>782</v>
      </c>
      <c r="OG25" s="111" t="s">
        <v>795</v>
      </c>
      <c r="OH25" s="111" t="s">
        <v>774</v>
      </c>
    </row>
    <row r="26" spans="1:398" ht="76.5" customHeight="1" x14ac:dyDescent="0.35">
      <c r="A26" s="102"/>
      <c r="B26" s="102"/>
      <c r="C26" s="102"/>
      <c r="D26" s="102"/>
      <c r="E26" s="102"/>
      <c r="F26" s="116"/>
      <c r="G26" s="116"/>
      <c r="H26" s="116"/>
      <c r="I26" s="206"/>
      <c r="J26" s="223"/>
      <c r="K26" s="223"/>
      <c r="L26" s="206"/>
      <c r="M26" s="223"/>
      <c r="N26" s="223"/>
      <c r="O26" s="223"/>
      <c r="P26" s="224"/>
      <c r="Q26" s="225"/>
      <c r="R26" s="227"/>
      <c r="S26" s="225"/>
      <c r="T26" s="221"/>
      <c r="U26" s="221"/>
      <c r="V26" s="221"/>
      <c r="W26" s="222"/>
      <c r="X26" s="233"/>
      <c r="Y26" s="221"/>
      <c r="Z26" s="221"/>
      <c r="AA26" s="221"/>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111" t="s">
        <v>796</v>
      </c>
      <c r="BA26" s="111" t="s">
        <v>796</v>
      </c>
      <c r="BB26" s="111" t="s">
        <v>796</v>
      </c>
      <c r="BC26" s="111" t="s">
        <v>798</v>
      </c>
      <c r="BD26" s="111" t="s">
        <v>798</v>
      </c>
      <c r="BE26" s="111" t="s">
        <v>798</v>
      </c>
      <c r="BF26" s="111" t="s">
        <v>799</v>
      </c>
      <c r="BG26" s="111" t="s">
        <v>799</v>
      </c>
      <c r="BH26" s="111" t="s">
        <v>799</v>
      </c>
      <c r="BI26" s="111" t="s">
        <v>800</v>
      </c>
      <c r="BJ26" s="111" t="s">
        <v>800</v>
      </c>
      <c r="BK26" s="111" t="s">
        <v>800</v>
      </c>
      <c r="BL26" s="111" t="s">
        <v>801</v>
      </c>
      <c r="BM26" s="111" t="s">
        <v>801</v>
      </c>
      <c r="BN26" s="111" t="s">
        <v>801</v>
      </c>
      <c r="BO26" s="111" t="s">
        <v>802</v>
      </c>
      <c r="BP26" s="111" t="s">
        <v>802</v>
      </c>
      <c r="BQ26" s="111" t="s">
        <v>802</v>
      </c>
      <c r="BR26" s="111" t="s">
        <v>803</v>
      </c>
      <c r="BS26" s="111" t="s">
        <v>803</v>
      </c>
      <c r="BT26" s="111" t="s">
        <v>803</v>
      </c>
      <c r="BU26" s="111" t="s">
        <v>804</v>
      </c>
      <c r="BV26" s="111" t="s">
        <v>804</v>
      </c>
      <c r="BW26" s="111" t="s">
        <v>804</v>
      </c>
      <c r="BX26" s="111" t="s">
        <v>805</v>
      </c>
      <c r="BY26" s="111" t="s">
        <v>805</v>
      </c>
      <c r="BZ26" s="111" t="s">
        <v>805</v>
      </c>
      <c r="CA26" s="111" t="s">
        <v>806</v>
      </c>
      <c r="CB26" s="111" t="s">
        <v>806</v>
      </c>
      <c r="CC26" s="111" t="s">
        <v>806</v>
      </c>
      <c r="CD26" s="111" t="s">
        <v>783</v>
      </c>
      <c r="CE26" s="111" t="s">
        <v>783</v>
      </c>
      <c r="CF26" s="111" t="s">
        <v>783</v>
      </c>
      <c r="CG26" s="111" t="s">
        <v>784</v>
      </c>
      <c r="CH26" s="111" t="s">
        <v>784</v>
      </c>
      <c r="CI26" s="111" t="s">
        <v>784</v>
      </c>
      <c r="CJ26" s="111" t="s">
        <v>945</v>
      </c>
      <c r="CK26" s="111" t="s">
        <v>945</v>
      </c>
      <c r="CL26" s="111" t="s">
        <v>945</v>
      </c>
      <c r="CM26" s="111" t="s">
        <v>795</v>
      </c>
      <c r="CN26" s="111" t="s">
        <v>795</v>
      </c>
      <c r="CO26" s="111" t="s">
        <v>795</v>
      </c>
      <c r="CP26" s="111" t="s">
        <v>787</v>
      </c>
      <c r="CQ26" s="111" t="s">
        <v>787</v>
      </c>
      <c r="CR26" s="111" t="s">
        <v>787</v>
      </c>
      <c r="CS26" s="111" t="s">
        <v>788</v>
      </c>
      <c r="CT26" s="111" t="s">
        <v>788</v>
      </c>
      <c r="CU26" s="111" t="s">
        <v>788</v>
      </c>
      <c r="CV26" s="111" t="s">
        <v>789</v>
      </c>
      <c r="CW26" s="111" t="s">
        <v>789</v>
      </c>
      <c r="CX26" s="111" t="s">
        <v>789</v>
      </c>
      <c r="CY26" s="111" t="s">
        <v>790</v>
      </c>
      <c r="CZ26" s="111" t="s">
        <v>790</v>
      </c>
      <c r="DA26" s="111" t="s">
        <v>790</v>
      </c>
      <c r="DB26" s="111" t="s">
        <v>791</v>
      </c>
      <c r="DC26" s="111" t="s">
        <v>791</v>
      </c>
      <c r="DD26" s="111" t="s">
        <v>791</v>
      </c>
      <c r="DE26" s="111"/>
      <c r="DF26" s="111"/>
      <c r="DG26" s="111"/>
      <c r="DH26" s="111"/>
      <c r="DI26" s="111"/>
      <c r="DJ26" s="111"/>
      <c r="DK26" s="111"/>
      <c r="DL26" s="111"/>
      <c r="DM26" s="111"/>
      <c r="DN26" s="111"/>
      <c r="DO26" s="111"/>
      <c r="DP26" s="111"/>
      <c r="DQ26" s="111"/>
      <c r="DR26" s="111"/>
      <c r="DS26" s="111"/>
      <c r="DT26" s="111"/>
      <c r="DU26" s="111"/>
      <c r="DV26" s="111"/>
      <c r="DW26" s="111"/>
      <c r="DX26" s="111"/>
      <c r="DY26" s="111" t="s">
        <v>782</v>
      </c>
      <c r="DZ26" s="111" t="s">
        <v>804</v>
      </c>
      <c r="EA26" s="111" t="s">
        <v>805</v>
      </c>
      <c r="EB26" s="111" t="s">
        <v>806</v>
      </c>
      <c r="EC26" s="111" t="s">
        <v>783</v>
      </c>
      <c r="ED26" s="111" t="s">
        <v>784</v>
      </c>
      <c r="EE26" s="111" t="s">
        <v>945</v>
      </c>
      <c r="EF26" s="111" t="s">
        <v>795</v>
      </c>
      <c r="EG26" s="111" t="s">
        <v>790</v>
      </c>
      <c r="EH26" s="111" t="s">
        <v>787</v>
      </c>
      <c r="EI26" s="111" t="s">
        <v>788</v>
      </c>
      <c r="EJ26" s="111" t="s">
        <v>789</v>
      </c>
      <c r="EK26" s="111" t="s">
        <v>791</v>
      </c>
      <c r="EL26" s="111"/>
      <c r="EM26" s="111"/>
      <c r="EN26" s="111"/>
      <c r="EO26" s="111"/>
      <c r="EP26" s="111"/>
      <c r="EQ26" s="111"/>
      <c r="ER26" s="111"/>
      <c r="ES26" s="111"/>
      <c r="ET26" s="111"/>
      <c r="EU26" s="111"/>
      <c r="EV26" s="111"/>
      <c r="EW26" s="111"/>
      <c r="EX26" s="111"/>
      <c r="EY26" s="111"/>
      <c r="EZ26" s="111"/>
      <c r="FA26" s="111" t="s">
        <v>807</v>
      </c>
      <c r="FB26" s="111" t="s">
        <v>807</v>
      </c>
      <c r="FC26" s="111" t="s">
        <v>807</v>
      </c>
      <c r="FD26" s="111" t="s">
        <v>808</v>
      </c>
      <c r="FE26" s="111" t="s">
        <v>808</v>
      </c>
      <c r="FF26" s="111" t="s">
        <v>808</v>
      </c>
      <c r="FG26" s="111" t="s">
        <v>797</v>
      </c>
      <c r="FH26" s="111" t="s">
        <v>797</v>
      </c>
      <c r="FI26" s="111" t="s">
        <v>797</v>
      </c>
      <c r="FJ26" s="111" t="s">
        <v>809</v>
      </c>
      <c r="FK26" s="111" t="s">
        <v>809</v>
      </c>
      <c r="FL26" s="111" t="s">
        <v>809</v>
      </c>
      <c r="FM26" s="111" t="s">
        <v>810</v>
      </c>
      <c r="FN26" s="111" t="s">
        <v>810</v>
      </c>
      <c r="FO26" s="111" t="s">
        <v>810</v>
      </c>
      <c r="FP26" s="111" t="s">
        <v>798</v>
      </c>
      <c r="FQ26" s="111" t="s">
        <v>798</v>
      </c>
      <c r="FR26" s="111" t="s">
        <v>798</v>
      </c>
      <c r="FS26" s="111" t="s">
        <v>799</v>
      </c>
      <c r="FT26" s="111" t="s">
        <v>799</v>
      </c>
      <c r="FU26" s="111" t="s">
        <v>799</v>
      </c>
      <c r="FV26" s="111" t="s">
        <v>811</v>
      </c>
      <c r="FW26" s="111" t="s">
        <v>811</v>
      </c>
      <c r="FX26" s="111" t="s">
        <v>811</v>
      </c>
      <c r="FY26" s="111" t="s">
        <v>812</v>
      </c>
      <c r="FZ26" s="111" t="s">
        <v>812</v>
      </c>
      <c r="GA26" s="111" t="s">
        <v>812</v>
      </c>
      <c r="GB26" s="111" t="s">
        <v>813</v>
      </c>
      <c r="GC26" s="111" t="s">
        <v>813</v>
      </c>
      <c r="GD26" s="111" t="s">
        <v>813</v>
      </c>
      <c r="GE26" s="111" t="s">
        <v>814</v>
      </c>
      <c r="GF26" s="111" t="s">
        <v>814</v>
      </c>
      <c r="GG26" s="111" t="s">
        <v>814</v>
      </c>
      <c r="GH26" s="111" t="s">
        <v>815</v>
      </c>
      <c r="GI26" s="111" t="s">
        <v>815</v>
      </c>
      <c r="GJ26" s="111" t="s">
        <v>815</v>
      </c>
      <c r="GK26" s="111" t="s">
        <v>800</v>
      </c>
      <c r="GL26" s="111" t="s">
        <v>800</v>
      </c>
      <c r="GM26" s="111" t="s">
        <v>800</v>
      </c>
      <c r="GN26" s="111" t="s">
        <v>816</v>
      </c>
      <c r="GO26" s="111" t="s">
        <v>816</v>
      </c>
      <c r="GP26" s="111" t="s">
        <v>816</v>
      </c>
      <c r="GQ26" s="111" t="s">
        <v>817</v>
      </c>
      <c r="GR26" s="111" t="s">
        <v>817</v>
      </c>
      <c r="GS26" s="111" t="s">
        <v>817</v>
      </c>
      <c r="GT26" s="111" t="s">
        <v>818</v>
      </c>
      <c r="GU26" s="111" t="s">
        <v>818</v>
      </c>
      <c r="GV26" s="111" t="s">
        <v>818</v>
      </c>
      <c r="GW26" s="111" t="s">
        <v>819</v>
      </c>
      <c r="GX26" s="111" t="s">
        <v>819</v>
      </c>
      <c r="GY26" s="111" t="s">
        <v>819</v>
      </c>
      <c r="GZ26" s="111" t="s">
        <v>820</v>
      </c>
      <c r="HA26" s="111" t="s">
        <v>820</v>
      </c>
      <c r="HB26" s="111" t="s">
        <v>820</v>
      </c>
      <c r="HC26" s="111" t="s">
        <v>821</v>
      </c>
      <c r="HD26" s="111" t="s">
        <v>821</v>
      </c>
      <c r="HE26" s="111" t="s">
        <v>821</v>
      </c>
      <c r="HF26" s="111" t="s">
        <v>822</v>
      </c>
      <c r="HG26" s="111" t="s">
        <v>822</v>
      </c>
      <c r="HH26" s="111" t="s">
        <v>822</v>
      </c>
      <c r="HI26" s="111" t="s">
        <v>801</v>
      </c>
      <c r="HJ26" s="111" t="s">
        <v>801</v>
      </c>
      <c r="HK26" s="111" t="s">
        <v>801</v>
      </c>
      <c r="HL26" s="111" t="s">
        <v>823</v>
      </c>
      <c r="HM26" s="111" t="s">
        <v>823</v>
      </c>
      <c r="HN26" s="111" t="s">
        <v>823</v>
      </c>
      <c r="HO26" s="111" t="s">
        <v>802</v>
      </c>
      <c r="HP26" s="111" t="s">
        <v>802</v>
      </c>
      <c r="HQ26" s="111" t="s">
        <v>802</v>
      </c>
      <c r="HR26" s="111" t="s">
        <v>824</v>
      </c>
      <c r="HS26" s="111" t="s">
        <v>824</v>
      </c>
      <c r="HT26" s="111" t="s">
        <v>824</v>
      </c>
      <c r="HU26" s="111" t="s">
        <v>825</v>
      </c>
      <c r="HV26" s="111" t="s">
        <v>825</v>
      </c>
      <c r="HW26" s="111" t="s">
        <v>825</v>
      </c>
      <c r="HX26" s="111" t="s">
        <v>826</v>
      </c>
      <c r="HY26" s="111" t="s">
        <v>826</v>
      </c>
      <c r="HZ26" s="111" t="s">
        <v>826</v>
      </c>
      <c r="IA26" s="111" t="s">
        <v>803</v>
      </c>
      <c r="IB26" s="111" t="s">
        <v>803</v>
      </c>
      <c r="IC26" s="111" t="s">
        <v>803</v>
      </c>
      <c r="ID26" s="111" t="s">
        <v>804</v>
      </c>
      <c r="IE26" s="111" t="s">
        <v>804</v>
      </c>
      <c r="IF26" s="111" t="s">
        <v>804</v>
      </c>
      <c r="IG26" s="111" t="s">
        <v>805</v>
      </c>
      <c r="IH26" s="111" t="s">
        <v>805</v>
      </c>
      <c r="II26" s="111" t="s">
        <v>805</v>
      </c>
      <c r="IJ26" s="111" t="s">
        <v>806</v>
      </c>
      <c r="IK26" s="111" t="s">
        <v>806</v>
      </c>
      <c r="IL26" s="111" t="s">
        <v>806</v>
      </c>
      <c r="IM26" s="111" t="s">
        <v>783</v>
      </c>
      <c r="IN26" s="111" t="s">
        <v>783</v>
      </c>
      <c r="IO26" s="111" t="s">
        <v>783</v>
      </c>
      <c r="IP26" s="111" t="s">
        <v>784</v>
      </c>
      <c r="IQ26" s="111" t="s">
        <v>784</v>
      </c>
      <c r="IR26" s="111" t="s">
        <v>784</v>
      </c>
      <c r="IS26" s="111" t="s">
        <v>785</v>
      </c>
      <c r="IT26" s="111" t="s">
        <v>785</v>
      </c>
      <c r="IU26" s="111" t="s">
        <v>785</v>
      </c>
      <c r="IV26" s="111" t="s">
        <v>795</v>
      </c>
      <c r="IW26" s="111" t="s">
        <v>795</v>
      </c>
      <c r="IX26" s="111" t="s">
        <v>795</v>
      </c>
      <c r="IY26" s="111" t="s">
        <v>787</v>
      </c>
      <c r="IZ26" s="111" t="s">
        <v>787</v>
      </c>
      <c r="JA26" s="111" t="s">
        <v>787</v>
      </c>
      <c r="JB26" s="111" t="s">
        <v>788</v>
      </c>
      <c r="JC26" s="111" t="s">
        <v>788</v>
      </c>
      <c r="JD26" s="111" t="s">
        <v>788</v>
      </c>
      <c r="JE26" s="111" t="s">
        <v>789</v>
      </c>
      <c r="JF26" s="111" t="s">
        <v>789</v>
      </c>
      <c r="JG26" s="111" t="s">
        <v>789</v>
      </c>
      <c r="JH26" s="111" t="s">
        <v>790</v>
      </c>
      <c r="JI26" s="111" t="s">
        <v>790</v>
      </c>
      <c r="JJ26" s="111" t="s">
        <v>790</v>
      </c>
      <c r="JK26" s="111" t="s">
        <v>791</v>
      </c>
      <c r="JL26" s="111" t="s">
        <v>791</v>
      </c>
      <c r="JM26" s="111" t="s">
        <v>791</v>
      </c>
      <c r="JN26" s="111"/>
      <c r="JO26" s="111"/>
      <c r="JP26" s="111"/>
      <c r="JQ26" s="111"/>
      <c r="JR26" s="111"/>
      <c r="JS26" s="111"/>
      <c r="JT26" s="111"/>
      <c r="JU26" s="111"/>
      <c r="JV26" s="111"/>
      <c r="JW26" s="111"/>
      <c r="JX26" s="111"/>
      <c r="JY26" s="111"/>
      <c r="JZ26" s="111"/>
      <c r="KA26" s="111"/>
      <c r="KB26" s="111"/>
      <c r="KC26" s="111"/>
      <c r="KD26" s="111"/>
      <c r="KE26" s="111"/>
      <c r="KF26" s="111"/>
      <c r="KG26" s="111"/>
      <c r="KH26" s="111"/>
      <c r="KI26" s="111"/>
      <c r="KJ26" s="111"/>
      <c r="KK26" s="111"/>
      <c r="KL26" s="111"/>
      <c r="KM26" s="111"/>
      <c r="KN26" s="111"/>
      <c r="KO26" s="111"/>
      <c r="KP26" s="111"/>
      <c r="KQ26" s="111"/>
      <c r="KR26" s="111"/>
      <c r="KS26" s="111"/>
      <c r="KT26" s="111"/>
      <c r="KU26" s="111"/>
      <c r="KV26" s="111"/>
      <c r="KW26" s="111"/>
      <c r="KX26" s="111"/>
      <c r="KY26" s="111"/>
      <c r="KZ26" s="111"/>
      <c r="LA26" s="111"/>
      <c r="LB26" s="111"/>
      <c r="LC26" s="111"/>
      <c r="LD26" s="111"/>
      <c r="LE26" s="111"/>
      <c r="LF26" s="111"/>
      <c r="LG26" s="111"/>
      <c r="LH26" s="111"/>
      <c r="LI26" s="111"/>
      <c r="LJ26" s="111"/>
      <c r="LK26" s="111"/>
      <c r="LL26" s="111"/>
      <c r="LM26" s="111"/>
      <c r="LN26" s="111"/>
      <c r="LO26" s="111"/>
      <c r="LP26" s="111"/>
      <c r="LQ26" s="111"/>
      <c r="LR26" s="111"/>
      <c r="LS26" s="111"/>
      <c r="LT26" s="111"/>
      <c r="LU26" s="111"/>
      <c r="LV26" s="111"/>
      <c r="LW26" s="111"/>
      <c r="LX26" s="111"/>
      <c r="LY26" s="111"/>
      <c r="LZ26" s="111"/>
      <c r="MA26" s="111"/>
      <c r="MB26" s="111"/>
      <c r="MC26" s="111"/>
      <c r="MD26" s="111"/>
      <c r="ME26" s="111"/>
      <c r="MF26" s="111"/>
      <c r="MG26" s="111"/>
      <c r="MH26" s="111"/>
      <c r="MI26" s="111"/>
      <c r="MJ26" s="111"/>
      <c r="MK26" s="111"/>
      <c r="ML26" s="111"/>
      <c r="MM26" s="111"/>
      <c r="MN26" s="111"/>
      <c r="MO26" s="111"/>
      <c r="MP26" s="111"/>
      <c r="MQ26" s="111"/>
      <c r="MR26" s="111"/>
      <c r="MS26" s="111"/>
      <c r="MT26" s="111"/>
      <c r="MU26" s="111"/>
      <c r="MV26" s="111"/>
      <c r="MW26" s="111"/>
      <c r="MX26" s="111"/>
      <c r="MY26" s="111"/>
      <c r="MZ26" s="111"/>
      <c r="NA26" s="111"/>
      <c r="NB26" s="111"/>
      <c r="NC26" s="111"/>
      <c r="ND26" s="111"/>
      <c r="NE26" s="111"/>
      <c r="NF26" s="111"/>
      <c r="NG26" s="111"/>
      <c r="NH26" s="111"/>
      <c r="NI26" s="111"/>
      <c r="NJ26" s="111"/>
      <c r="NK26" s="111"/>
      <c r="NL26" s="111"/>
      <c r="NM26" s="111"/>
      <c r="NN26" s="111"/>
      <c r="NO26" s="111"/>
      <c r="NP26" s="111"/>
      <c r="NQ26" s="111"/>
      <c r="NR26" s="111"/>
      <c r="NS26" s="111"/>
      <c r="NT26" s="111"/>
      <c r="NU26" s="111"/>
      <c r="NV26" s="111"/>
      <c r="NW26" s="111"/>
      <c r="NX26" s="111"/>
      <c r="NY26" s="111"/>
      <c r="NZ26" s="111"/>
      <c r="OA26" s="111"/>
      <c r="OB26" s="111"/>
      <c r="OC26" s="111"/>
      <c r="OD26" s="111"/>
      <c r="OE26" s="111"/>
      <c r="OF26" s="111"/>
      <c r="OG26" s="111"/>
      <c r="OH26" s="111"/>
    </row>
    <row r="27" spans="1:398" ht="75.75" customHeight="1" x14ac:dyDescent="0.35">
      <c r="A27" s="102"/>
      <c r="B27" s="102"/>
      <c r="C27" s="102"/>
      <c r="D27" s="102"/>
      <c r="E27" s="102"/>
      <c r="F27" s="102"/>
      <c r="G27" s="103"/>
      <c r="H27" s="103"/>
      <c r="I27" s="206"/>
      <c r="J27" s="223"/>
      <c r="K27" s="223"/>
      <c r="L27" s="206"/>
      <c r="M27" s="223"/>
      <c r="N27" s="223"/>
      <c r="O27" s="223"/>
      <c r="P27" s="224"/>
      <c r="Q27" s="225"/>
      <c r="R27" s="227"/>
      <c r="S27" s="225"/>
      <c r="T27" s="229" t="s">
        <v>887</v>
      </c>
      <c r="U27" s="206" t="s">
        <v>888</v>
      </c>
      <c r="V27" s="206" t="s">
        <v>889</v>
      </c>
      <c r="W27" s="206" t="s">
        <v>890</v>
      </c>
      <c r="X27" s="206" t="s">
        <v>887</v>
      </c>
      <c r="Y27" s="206" t="s">
        <v>888</v>
      </c>
      <c r="Z27" s="206" t="s">
        <v>889</v>
      </c>
      <c r="AA27" s="206" t="s">
        <v>890</v>
      </c>
      <c r="AB27" s="228" t="s">
        <v>887</v>
      </c>
      <c r="AC27" s="228" t="s">
        <v>888</v>
      </c>
      <c r="AD27" s="228" t="s">
        <v>889</v>
      </c>
      <c r="AE27" s="206" t="s">
        <v>890</v>
      </c>
      <c r="AF27" s="228" t="s">
        <v>887</v>
      </c>
      <c r="AG27" s="228" t="s">
        <v>888</v>
      </c>
      <c r="AH27" s="228" t="s">
        <v>889</v>
      </c>
      <c r="AI27" s="206" t="s">
        <v>890</v>
      </c>
      <c r="AJ27" s="228" t="s">
        <v>887</v>
      </c>
      <c r="AK27" s="228" t="s">
        <v>888</v>
      </c>
      <c r="AL27" s="228" t="s">
        <v>889</v>
      </c>
      <c r="AM27" s="206" t="s">
        <v>890</v>
      </c>
      <c r="AN27" s="228" t="s">
        <v>887</v>
      </c>
      <c r="AO27" s="228" t="s">
        <v>888</v>
      </c>
      <c r="AP27" s="228" t="s">
        <v>889</v>
      </c>
      <c r="AQ27" s="206" t="s">
        <v>890</v>
      </c>
      <c r="AR27" s="228" t="s">
        <v>887</v>
      </c>
      <c r="AS27" s="228" t="s">
        <v>888</v>
      </c>
      <c r="AT27" s="228" t="s">
        <v>889</v>
      </c>
      <c r="AU27" s="206" t="s">
        <v>890</v>
      </c>
      <c r="AV27" s="228" t="s">
        <v>887</v>
      </c>
      <c r="AW27" s="228" t="s">
        <v>888</v>
      </c>
      <c r="AX27" s="228" t="s">
        <v>889</v>
      </c>
      <c r="AY27" s="206" t="s">
        <v>890</v>
      </c>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c r="CY27" s="111"/>
      <c r="CZ27" s="111"/>
      <c r="DA27" s="111"/>
      <c r="DB27" s="111"/>
      <c r="DC27" s="111"/>
      <c r="DD27" s="111"/>
      <c r="DE27" s="111" t="s">
        <v>849</v>
      </c>
      <c r="DF27" s="111" t="s">
        <v>850</v>
      </c>
      <c r="DG27" s="111" t="s">
        <v>851</v>
      </c>
      <c r="DH27" s="111" t="s">
        <v>852</v>
      </c>
      <c r="DI27" s="111" t="s">
        <v>853</v>
      </c>
      <c r="DJ27" s="111" t="s">
        <v>854</v>
      </c>
      <c r="DK27" s="111" t="s">
        <v>855</v>
      </c>
      <c r="DL27" s="111" t="s">
        <v>856</v>
      </c>
      <c r="DM27" s="111" t="s">
        <v>857</v>
      </c>
      <c r="DN27" s="111" t="s">
        <v>858</v>
      </c>
      <c r="DO27" s="111" t="s">
        <v>859</v>
      </c>
      <c r="DP27" s="111" t="s">
        <v>860</v>
      </c>
      <c r="DQ27" s="111" t="s">
        <v>861</v>
      </c>
      <c r="DR27" s="111" t="s">
        <v>862</v>
      </c>
      <c r="DS27" s="111" t="s">
        <v>863</v>
      </c>
      <c r="DT27" s="111" t="s">
        <v>864</v>
      </c>
      <c r="DU27" s="111" t="s">
        <v>865</v>
      </c>
      <c r="DV27" s="111" t="s">
        <v>866</v>
      </c>
      <c r="DW27" s="111" t="s">
        <v>867</v>
      </c>
      <c r="DX27" s="111"/>
      <c r="DY27" s="111"/>
      <c r="DZ27" s="111"/>
      <c r="EA27" s="111"/>
      <c r="EB27" s="111"/>
      <c r="EC27" s="111"/>
      <c r="ED27" s="111"/>
      <c r="EE27" s="111"/>
      <c r="EF27" s="111"/>
      <c r="EG27" s="111"/>
      <c r="EH27" s="111"/>
      <c r="EI27" s="111"/>
      <c r="EJ27" s="111"/>
      <c r="EK27" s="111"/>
      <c r="EL27" s="111"/>
      <c r="EM27" s="111" t="s">
        <v>875</v>
      </c>
      <c r="EN27" s="111" t="s">
        <v>876</v>
      </c>
      <c r="EO27" s="111" t="s">
        <v>877</v>
      </c>
      <c r="EP27" s="111" t="s">
        <v>878</v>
      </c>
      <c r="EQ27" s="111" t="s">
        <v>879</v>
      </c>
      <c r="ER27" s="111" t="s">
        <v>880</v>
      </c>
      <c r="ES27" s="111" t="s">
        <v>881</v>
      </c>
      <c r="ET27" s="111" t="s">
        <v>882</v>
      </c>
      <c r="EU27" s="111" t="s">
        <v>883</v>
      </c>
      <c r="EV27" s="111" t="s">
        <v>869</v>
      </c>
      <c r="EW27" s="111" t="s">
        <v>870</v>
      </c>
      <c r="EX27" s="111" t="s">
        <v>871</v>
      </c>
      <c r="EY27" s="111" t="s">
        <v>872</v>
      </c>
      <c r="EZ27" s="111" t="s">
        <v>873</v>
      </c>
      <c r="FA27" s="111"/>
      <c r="FB27" s="111"/>
      <c r="FC27" s="111"/>
      <c r="FD27" s="111"/>
      <c r="FE27" s="111"/>
      <c r="FF27" s="111"/>
      <c r="FG27" s="111"/>
      <c r="FH27" s="111"/>
      <c r="FI27" s="111"/>
      <c r="FJ27" s="111"/>
      <c r="FK27" s="111"/>
      <c r="FL27" s="111"/>
      <c r="FM27" s="111"/>
      <c r="FN27" s="111"/>
      <c r="FO27" s="111"/>
      <c r="FP27" s="111"/>
      <c r="FQ27" s="111"/>
      <c r="FR27" s="111"/>
      <c r="FS27" s="111"/>
      <c r="FT27" s="111"/>
      <c r="FU27" s="111"/>
      <c r="FV27" s="111"/>
      <c r="FW27" s="111"/>
      <c r="FX27" s="111"/>
      <c r="FY27" s="111"/>
      <c r="FZ27" s="111"/>
      <c r="GA27" s="111"/>
      <c r="GB27" s="111"/>
      <c r="GC27" s="111"/>
      <c r="GD27" s="111"/>
      <c r="GE27" s="111"/>
      <c r="GF27" s="111"/>
      <c r="GG27" s="111"/>
      <c r="GH27" s="111"/>
      <c r="GI27" s="111"/>
      <c r="GJ27" s="111"/>
      <c r="GK27" s="111"/>
      <c r="GL27" s="111"/>
      <c r="GM27" s="111"/>
      <c r="GN27" s="111"/>
      <c r="GO27" s="111"/>
      <c r="GP27" s="111"/>
      <c r="GQ27" s="111"/>
      <c r="GR27" s="111"/>
      <c r="GS27" s="111"/>
      <c r="GT27" s="111"/>
      <c r="GU27" s="111"/>
      <c r="GV27" s="111"/>
      <c r="GW27" s="111"/>
      <c r="GX27" s="111"/>
      <c r="GY27" s="111"/>
      <c r="GZ27" s="111"/>
      <c r="HA27" s="111"/>
      <c r="HB27" s="111"/>
      <c r="HC27" s="111"/>
      <c r="HD27" s="111"/>
      <c r="HE27" s="111"/>
      <c r="HF27" s="111"/>
      <c r="HG27" s="111"/>
      <c r="HH27" s="111"/>
      <c r="HI27" s="111"/>
      <c r="HJ27" s="111"/>
      <c r="HK27" s="111"/>
      <c r="HL27" s="111"/>
      <c r="HM27" s="111"/>
      <c r="HN27" s="111"/>
      <c r="HO27" s="111"/>
      <c r="HP27" s="111"/>
      <c r="HQ27" s="111"/>
      <c r="HR27" s="111"/>
      <c r="HS27" s="111"/>
      <c r="HT27" s="111"/>
      <c r="HU27" s="111"/>
      <c r="HV27" s="111"/>
      <c r="HW27" s="111"/>
      <c r="HX27" s="111"/>
      <c r="HY27" s="111"/>
      <c r="HZ27" s="111"/>
      <c r="IA27" s="111"/>
      <c r="IB27" s="111"/>
      <c r="IC27" s="111"/>
      <c r="ID27" s="111"/>
      <c r="IE27" s="111"/>
      <c r="IF27" s="111"/>
      <c r="IG27" s="111"/>
      <c r="IH27" s="111"/>
      <c r="II27" s="111"/>
      <c r="IJ27" s="111"/>
      <c r="IK27" s="111"/>
      <c r="IL27" s="111"/>
      <c r="IM27" s="111"/>
      <c r="IN27" s="111"/>
      <c r="IO27" s="111"/>
      <c r="IP27" s="111"/>
      <c r="IQ27" s="111"/>
      <c r="IR27" s="111"/>
      <c r="IS27" s="111"/>
      <c r="IT27" s="111"/>
      <c r="IU27" s="111"/>
      <c r="IV27" s="111"/>
      <c r="IW27" s="111"/>
      <c r="IX27" s="111"/>
      <c r="IY27" s="111"/>
      <c r="IZ27" s="111"/>
      <c r="JA27" s="111"/>
      <c r="JB27" s="111"/>
      <c r="JC27" s="111"/>
      <c r="JD27" s="111"/>
      <c r="JE27" s="111"/>
      <c r="JF27" s="111"/>
      <c r="JG27" s="111"/>
      <c r="JH27" s="111"/>
      <c r="JI27" s="111"/>
      <c r="JJ27" s="111"/>
      <c r="JK27" s="111"/>
      <c r="JL27" s="111"/>
      <c r="JM27" s="111"/>
      <c r="JN27" s="111" t="s">
        <v>832</v>
      </c>
      <c r="JO27" s="111" t="s">
        <v>832</v>
      </c>
      <c r="JP27" s="111" t="s">
        <v>832</v>
      </c>
      <c r="JQ27" s="111" t="s">
        <v>833</v>
      </c>
      <c r="JR27" s="111" t="s">
        <v>833</v>
      </c>
      <c r="JS27" s="111" t="s">
        <v>833</v>
      </c>
      <c r="JT27" s="111" t="s">
        <v>832</v>
      </c>
      <c r="JU27" s="111" t="s">
        <v>832</v>
      </c>
      <c r="JV27" s="111" t="s">
        <v>832</v>
      </c>
      <c r="JW27" s="111" t="s">
        <v>833</v>
      </c>
      <c r="JX27" s="111" t="s">
        <v>833</v>
      </c>
      <c r="JY27" s="111" t="s">
        <v>833</v>
      </c>
      <c r="JZ27" s="111" t="s">
        <v>834</v>
      </c>
      <c r="KA27" s="111" t="s">
        <v>835</v>
      </c>
      <c r="KB27" s="111" t="s">
        <v>836</v>
      </c>
      <c r="KC27" s="111" t="s">
        <v>837</v>
      </c>
      <c r="KD27" s="111" t="s">
        <v>838</v>
      </c>
      <c r="KE27" s="111" t="s">
        <v>839</v>
      </c>
      <c r="KF27" s="111" t="s">
        <v>840</v>
      </c>
      <c r="KG27" s="111" t="s">
        <v>839</v>
      </c>
      <c r="KH27" s="111" t="s">
        <v>840</v>
      </c>
      <c r="KI27" s="111" t="s">
        <v>839</v>
      </c>
      <c r="KJ27" s="111" t="s">
        <v>840</v>
      </c>
      <c r="KK27" s="111"/>
      <c r="KL27" s="111"/>
      <c r="KM27" s="111"/>
      <c r="KN27" s="111"/>
      <c r="KO27" s="111"/>
      <c r="KP27" s="111"/>
      <c r="KQ27" s="111"/>
      <c r="KR27" s="111"/>
      <c r="KS27" s="111"/>
      <c r="KT27" s="111"/>
      <c r="KU27" s="111"/>
      <c r="KV27" s="111"/>
      <c r="KW27" s="111"/>
      <c r="KX27" s="111"/>
      <c r="KY27" s="111"/>
      <c r="KZ27" s="111"/>
      <c r="LA27" s="111"/>
      <c r="LB27" s="111"/>
      <c r="LC27" s="111"/>
      <c r="LD27" s="111"/>
      <c r="LE27" s="111"/>
      <c r="LF27" s="111"/>
      <c r="LG27" s="111"/>
      <c r="LH27" s="111"/>
      <c r="LI27" s="111"/>
      <c r="LJ27" s="111"/>
      <c r="LK27" s="111"/>
      <c r="LL27" s="111"/>
      <c r="LM27" s="111"/>
      <c r="LN27" s="111"/>
      <c r="LO27" s="111"/>
      <c r="LP27" s="111"/>
      <c r="LQ27" s="111"/>
      <c r="LR27" s="111"/>
      <c r="LS27" s="111"/>
      <c r="LT27" s="111"/>
      <c r="LU27" s="111"/>
      <c r="LV27" s="111"/>
      <c r="LW27" s="111"/>
      <c r="LX27" s="111"/>
      <c r="LY27" s="111"/>
      <c r="LZ27" s="111"/>
      <c r="MA27" s="111"/>
      <c r="MB27" s="111"/>
      <c r="MC27" s="111"/>
      <c r="MD27" s="111"/>
      <c r="ME27" s="111"/>
      <c r="MF27" s="111"/>
      <c r="MG27" s="111"/>
      <c r="MH27" s="111"/>
      <c r="MI27" s="111"/>
      <c r="MJ27" s="111"/>
      <c r="MK27" s="111"/>
      <c r="ML27" s="111"/>
      <c r="MM27" s="111"/>
      <c r="MN27" s="111"/>
      <c r="MO27" s="111"/>
      <c r="MP27" s="111"/>
      <c r="MQ27" s="111"/>
      <c r="MR27" s="111"/>
      <c r="MS27" s="111"/>
      <c r="MT27" s="111"/>
      <c r="MU27" s="111"/>
      <c r="MV27" s="111"/>
      <c r="MW27" s="111"/>
      <c r="MX27" s="111"/>
      <c r="MY27" s="111"/>
      <c r="MZ27" s="111"/>
      <c r="NA27" s="111"/>
      <c r="NB27" s="111"/>
      <c r="NC27" s="111"/>
      <c r="ND27" s="111"/>
      <c r="NE27" s="111"/>
      <c r="NF27" s="111"/>
      <c r="NG27" s="111"/>
      <c r="NH27" s="111"/>
      <c r="NI27" s="111"/>
      <c r="NJ27" s="111"/>
      <c r="NK27" s="111"/>
      <c r="NL27" s="111"/>
      <c r="NM27" s="111"/>
      <c r="NN27" s="111"/>
      <c r="NO27" s="111"/>
      <c r="NP27" s="111"/>
      <c r="NQ27" s="111"/>
      <c r="NR27" s="111"/>
      <c r="NS27" s="111"/>
      <c r="NT27" s="111"/>
      <c r="NU27" s="111"/>
      <c r="NV27" s="111"/>
      <c r="NW27" s="111"/>
      <c r="NX27" s="111"/>
      <c r="NY27" s="111"/>
      <c r="NZ27" s="111"/>
      <c r="OA27" s="111"/>
      <c r="OB27" s="111"/>
      <c r="OC27" s="111"/>
      <c r="OD27" s="111"/>
      <c r="OE27" s="111"/>
      <c r="OF27" s="111"/>
      <c r="OG27" s="111"/>
      <c r="OH27" s="111"/>
    </row>
    <row r="28" spans="1:398" ht="46.4" customHeight="1" thickBot="1" x14ac:dyDescent="0.4">
      <c r="A28" s="102"/>
      <c r="B28" s="179" t="s">
        <v>891</v>
      </c>
      <c r="C28" s="122" t="s">
        <v>892</v>
      </c>
      <c r="D28" s="120" t="s">
        <v>893</v>
      </c>
      <c r="E28" s="120" t="s">
        <v>894</v>
      </c>
      <c r="F28" s="120" t="s">
        <v>895</v>
      </c>
      <c r="G28" s="120" t="s">
        <v>896</v>
      </c>
      <c r="H28" s="120" t="s">
        <v>765</v>
      </c>
      <c r="I28" s="209"/>
      <c r="J28" s="223"/>
      <c r="K28" s="223"/>
      <c r="L28" s="207"/>
      <c r="M28" s="223"/>
      <c r="N28" s="223"/>
      <c r="O28" s="223"/>
      <c r="P28" s="224"/>
      <c r="Q28" s="226"/>
      <c r="R28" s="227"/>
      <c r="S28" s="226"/>
      <c r="T28" s="209"/>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123" t="s">
        <v>828</v>
      </c>
      <c r="BA28" s="123" t="s">
        <v>829</v>
      </c>
      <c r="BB28" s="123" t="s">
        <v>830</v>
      </c>
      <c r="BC28" s="123" t="s">
        <v>828</v>
      </c>
      <c r="BD28" s="123" t="s">
        <v>829</v>
      </c>
      <c r="BE28" s="123" t="s">
        <v>830</v>
      </c>
      <c r="BF28" s="123" t="s">
        <v>828</v>
      </c>
      <c r="BG28" s="123" t="s">
        <v>829</v>
      </c>
      <c r="BH28" s="123" t="s">
        <v>830</v>
      </c>
      <c r="BI28" s="123" t="s">
        <v>828</v>
      </c>
      <c r="BJ28" s="123" t="s">
        <v>829</v>
      </c>
      <c r="BK28" s="123" t="s">
        <v>830</v>
      </c>
      <c r="BL28" s="123" t="s">
        <v>828</v>
      </c>
      <c r="BM28" s="123" t="s">
        <v>829</v>
      </c>
      <c r="BN28" s="123" t="s">
        <v>830</v>
      </c>
      <c r="BO28" s="123" t="s">
        <v>828</v>
      </c>
      <c r="BP28" s="123" t="s">
        <v>829</v>
      </c>
      <c r="BQ28" s="123" t="s">
        <v>830</v>
      </c>
      <c r="BR28" s="123" t="s">
        <v>828</v>
      </c>
      <c r="BS28" s="123" t="s">
        <v>829</v>
      </c>
      <c r="BT28" s="123" t="s">
        <v>830</v>
      </c>
      <c r="BU28" s="123" t="s">
        <v>828</v>
      </c>
      <c r="BV28" s="123" t="s">
        <v>829</v>
      </c>
      <c r="BW28" s="123" t="s">
        <v>830</v>
      </c>
      <c r="BX28" s="123" t="s">
        <v>828</v>
      </c>
      <c r="BY28" s="123" t="s">
        <v>829</v>
      </c>
      <c r="BZ28" s="123" t="s">
        <v>830</v>
      </c>
      <c r="CA28" s="123" t="s">
        <v>828</v>
      </c>
      <c r="CB28" s="123" t="s">
        <v>829</v>
      </c>
      <c r="CC28" s="123" t="s">
        <v>830</v>
      </c>
      <c r="CD28" s="123" t="s">
        <v>828</v>
      </c>
      <c r="CE28" s="123" t="s">
        <v>829</v>
      </c>
      <c r="CF28" s="123" t="s">
        <v>830</v>
      </c>
      <c r="CG28" s="123" t="s">
        <v>828</v>
      </c>
      <c r="CH28" s="123" t="s">
        <v>829</v>
      </c>
      <c r="CI28" s="123" t="s">
        <v>830</v>
      </c>
      <c r="CJ28" s="123" t="s">
        <v>828</v>
      </c>
      <c r="CK28" s="123" t="s">
        <v>829</v>
      </c>
      <c r="CL28" s="123" t="s">
        <v>830</v>
      </c>
      <c r="CM28" s="123" t="s">
        <v>828</v>
      </c>
      <c r="CN28" s="123" t="s">
        <v>829</v>
      </c>
      <c r="CO28" s="123" t="s">
        <v>830</v>
      </c>
      <c r="CP28" s="123" t="s">
        <v>828</v>
      </c>
      <c r="CQ28" s="123" t="s">
        <v>829</v>
      </c>
      <c r="CR28" s="123" t="s">
        <v>830</v>
      </c>
      <c r="CS28" s="123" t="s">
        <v>828</v>
      </c>
      <c r="CT28" s="123" t="s">
        <v>829</v>
      </c>
      <c r="CU28" s="123" t="s">
        <v>830</v>
      </c>
      <c r="CV28" s="123" t="s">
        <v>828</v>
      </c>
      <c r="CW28" s="123" t="s">
        <v>829</v>
      </c>
      <c r="CX28" s="123" t="s">
        <v>830</v>
      </c>
      <c r="CY28" s="123" t="s">
        <v>828</v>
      </c>
      <c r="CZ28" s="123" t="s">
        <v>829</v>
      </c>
      <c r="DA28" s="123" t="s">
        <v>830</v>
      </c>
      <c r="DB28" s="123" t="s">
        <v>828</v>
      </c>
      <c r="DC28" s="123" t="s">
        <v>829</v>
      </c>
      <c r="DD28" s="123" t="s">
        <v>830</v>
      </c>
      <c r="DE28" s="123"/>
      <c r="DF28" s="123"/>
      <c r="DG28" s="123"/>
      <c r="DH28" s="123"/>
      <c r="DI28" s="123"/>
      <c r="DJ28" s="123"/>
      <c r="DK28" s="123"/>
      <c r="DL28" s="123"/>
      <c r="DM28" s="123"/>
      <c r="DN28" s="123"/>
      <c r="DO28" s="123"/>
      <c r="DP28" s="123"/>
      <c r="DQ28" s="123"/>
      <c r="DR28" s="123"/>
      <c r="DS28" s="123"/>
      <c r="DT28" s="123"/>
      <c r="DU28" s="123"/>
      <c r="DV28" s="123"/>
      <c r="DW28" s="123"/>
      <c r="DX28" s="123"/>
      <c r="DY28" s="123"/>
      <c r="DZ28" s="123"/>
      <c r="EA28" s="123"/>
      <c r="EB28" s="123"/>
      <c r="EC28" s="123"/>
      <c r="ED28" s="123"/>
      <c r="EE28" s="123"/>
      <c r="EF28" s="123"/>
      <c r="EG28" s="123"/>
      <c r="EH28" s="123"/>
      <c r="EI28" s="123"/>
      <c r="EJ28" s="123"/>
      <c r="EK28" s="123"/>
      <c r="EL28" s="123"/>
      <c r="EM28" s="123"/>
      <c r="EN28" s="123"/>
      <c r="EO28" s="123"/>
      <c r="EP28" s="123"/>
      <c r="EQ28" s="123"/>
      <c r="ER28" s="123"/>
      <c r="ES28" s="123"/>
      <c r="ET28" s="123"/>
      <c r="EU28" s="123"/>
      <c r="EV28" s="123"/>
      <c r="EW28" s="123"/>
      <c r="EX28" s="123"/>
      <c r="EY28" s="123"/>
      <c r="EZ28" s="123"/>
      <c r="FA28" s="123" t="s">
        <v>828</v>
      </c>
      <c r="FB28" s="123" t="s">
        <v>829</v>
      </c>
      <c r="FC28" s="123" t="s">
        <v>830</v>
      </c>
      <c r="FD28" s="123" t="s">
        <v>828</v>
      </c>
      <c r="FE28" s="123" t="s">
        <v>829</v>
      </c>
      <c r="FF28" s="123" t="s">
        <v>830</v>
      </c>
      <c r="FG28" s="123" t="s">
        <v>828</v>
      </c>
      <c r="FH28" s="123" t="s">
        <v>829</v>
      </c>
      <c r="FI28" s="123" t="s">
        <v>830</v>
      </c>
      <c r="FJ28" s="123" t="s">
        <v>828</v>
      </c>
      <c r="FK28" s="123" t="s">
        <v>829</v>
      </c>
      <c r="FL28" s="123" t="s">
        <v>830</v>
      </c>
      <c r="FM28" s="123" t="s">
        <v>828</v>
      </c>
      <c r="FN28" s="123" t="s">
        <v>829</v>
      </c>
      <c r="FO28" s="123" t="s">
        <v>830</v>
      </c>
      <c r="FP28" s="123" t="s">
        <v>828</v>
      </c>
      <c r="FQ28" s="123" t="s">
        <v>829</v>
      </c>
      <c r="FR28" s="123" t="s">
        <v>830</v>
      </c>
      <c r="FS28" s="123" t="s">
        <v>828</v>
      </c>
      <c r="FT28" s="123" t="s">
        <v>829</v>
      </c>
      <c r="FU28" s="123" t="s">
        <v>830</v>
      </c>
      <c r="FV28" s="123" t="s">
        <v>828</v>
      </c>
      <c r="FW28" s="123" t="s">
        <v>829</v>
      </c>
      <c r="FX28" s="123" t="s">
        <v>830</v>
      </c>
      <c r="FY28" s="123" t="s">
        <v>828</v>
      </c>
      <c r="FZ28" s="123" t="s">
        <v>829</v>
      </c>
      <c r="GA28" s="123" t="s">
        <v>830</v>
      </c>
      <c r="GB28" s="123" t="s">
        <v>828</v>
      </c>
      <c r="GC28" s="123" t="s">
        <v>829</v>
      </c>
      <c r="GD28" s="123" t="s">
        <v>830</v>
      </c>
      <c r="GE28" s="123" t="s">
        <v>828</v>
      </c>
      <c r="GF28" s="123" t="s">
        <v>829</v>
      </c>
      <c r="GG28" s="123" t="s">
        <v>830</v>
      </c>
      <c r="GH28" s="123" t="s">
        <v>828</v>
      </c>
      <c r="GI28" s="123" t="s">
        <v>829</v>
      </c>
      <c r="GJ28" s="123" t="s">
        <v>830</v>
      </c>
      <c r="GK28" s="123" t="s">
        <v>828</v>
      </c>
      <c r="GL28" s="123" t="s">
        <v>829</v>
      </c>
      <c r="GM28" s="123" t="s">
        <v>830</v>
      </c>
      <c r="GN28" s="123" t="s">
        <v>828</v>
      </c>
      <c r="GO28" s="123" t="s">
        <v>829</v>
      </c>
      <c r="GP28" s="123" t="s">
        <v>830</v>
      </c>
      <c r="GQ28" s="123" t="s">
        <v>828</v>
      </c>
      <c r="GR28" s="123" t="s">
        <v>829</v>
      </c>
      <c r="GS28" s="123" t="s">
        <v>830</v>
      </c>
      <c r="GT28" s="123" t="s">
        <v>828</v>
      </c>
      <c r="GU28" s="123" t="s">
        <v>829</v>
      </c>
      <c r="GV28" s="123" t="s">
        <v>830</v>
      </c>
      <c r="GW28" s="123" t="s">
        <v>828</v>
      </c>
      <c r="GX28" s="123" t="s">
        <v>829</v>
      </c>
      <c r="GY28" s="123" t="s">
        <v>830</v>
      </c>
      <c r="GZ28" s="123" t="s">
        <v>828</v>
      </c>
      <c r="HA28" s="123" t="s">
        <v>829</v>
      </c>
      <c r="HB28" s="123" t="s">
        <v>830</v>
      </c>
      <c r="HC28" s="123" t="s">
        <v>828</v>
      </c>
      <c r="HD28" s="123" t="s">
        <v>829</v>
      </c>
      <c r="HE28" s="123" t="s">
        <v>830</v>
      </c>
      <c r="HF28" s="123" t="s">
        <v>828</v>
      </c>
      <c r="HG28" s="123" t="s">
        <v>829</v>
      </c>
      <c r="HH28" s="123" t="s">
        <v>830</v>
      </c>
      <c r="HI28" s="123" t="s">
        <v>828</v>
      </c>
      <c r="HJ28" s="123" t="s">
        <v>829</v>
      </c>
      <c r="HK28" s="123" t="s">
        <v>830</v>
      </c>
      <c r="HL28" s="123" t="s">
        <v>828</v>
      </c>
      <c r="HM28" s="123" t="s">
        <v>829</v>
      </c>
      <c r="HN28" s="123" t="s">
        <v>830</v>
      </c>
      <c r="HO28" s="123" t="s">
        <v>828</v>
      </c>
      <c r="HP28" s="123" t="s">
        <v>829</v>
      </c>
      <c r="HQ28" s="123" t="s">
        <v>830</v>
      </c>
      <c r="HR28" s="123" t="s">
        <v>828</v>
      </c>
      <c r="HS28" s="123" t="s">
        <v>829</v>
      </c>
      <c r="HT28" s="123" t="s">
        <v>830</v>
      </c>
      <c r="HU28" s="123" t="s">
        <v>828</v>
      </c>
      <c r="HV28" s="123" t="s">
        <v>829</v>
      </c>
      <c r="HW28" s="123" t="s">
        <v>830</v>
      </c>
      <c r="HX28" s="123" t="s">
        <v>828</v>
      </c>
      <c r="HY28" s="123" t="s">
        <v>829</v>
      </c>
      <c r="HZ28" s="123" t="s">
        <v>830</v>
      </c>
      <c r="IA28" s="123" t="s">
        <v>828</v>
      </c>
      <c r="IB28" s="123" t="s">
        <v>829</v>
      </c>
      <c r="IC28" s="123" t="s">
        <v>830</v>
      </c>
      <c r="ID28" s="123" t="s">
        <v>828</v>
      </c>
      <c r="IE28" s="123" t="s">
        <v>829</v>
      </c>
      <c r="IF28" s="123" t="s">
        <v>830</v>
      </c>
      <c r="IG28" s="123" t="s">
        <v>828</v>
      </c>
      <c r="IH28" s="123" t="s">
        <v>829</v>
      </c>
      <c r="II28" s="123" t="s">
        <v>830</v>
      </c>
      <c r="IJ28" s="123" t="s">
        <v>828</v>
      </c>
      <c r="IK28" s="123" t="s">
        <v>829</v>
      </c>
      <c r="IL28" s="123" t="s">
        <v>830</v>
      </c>
      <c r="IM28" s="123" t="s">
        <v>828</v>
      </c>
      <c r="IN28" s="123" t="s">
        <v>829</v>
      </c>
      <c r="IO28" s="123" t="s">
        <v>830</v>
      </c>
      <c r="IP28" s="123" t="s">
        <v>828</v>
      </c>
      <c r="IQ28" s="123" t="s">
        <v>829</v>
      </c>
      <c r="IR28" s="123" t="s">
        <v>830</v>
      </c>
      <c r="IS28" s="123" t="s">
        <v>828</v>
      </c>
      <c r="IT28" s="123" t="s">
        <v>829</v>
      </c>
      <c r="IU28" s="123" t="s">
        <v>830</v>
      </c>
      <c r="IV28" s="123" t="s">
        <v>828</v>
      </c>
      <c r="IW28" s="123" t="s">
        <v>829</v>
      </c>
      <c r="IX28" s="123" t="s">
        <v>830</v>
      </c>
      <c r="IY28" s="123" t="s">
        <v>828</v>
      </c>
      <c r="IZ28" s="123" t="s">
        <v>829</v>
      </c>
      <c r="JA28" s="123" t="s">
        <v>830</v>
      </c>
      <c r="JB28" s="123" t="s">
        <v>828</v>
      </c>
      <c r="JC28" s="123" t="s">
        <v>829</v>
      </c>
      <c r="JD28" s="123" t="s">
        <v>830</v>
      </c>
      <c r="JE28" s="123" t="s">
        <v>828</v>
      </c>
      <c r="JF28" s="123" t="s">
        <v>829</v>
      </c>
      <c r="JG28" s="123" t="s">
        <v>830</v>
      </c>
      <c r="JH28" s="123" t="s">
        <v>828</v>
      </c>
      <c r="JI28" s="123" t="s">
        <v>829</v>
      </c>
      <c r="JJ28" s="123" t="s">
        <v>830</v>
      </c>
      <c r="JK28" s="123" t="s">
        <v>828</v>
      </c>
      <c r="JL28" s="123" t="s">
        <v>829</v>
      </c>
      <c r="JM28" s="123" t="s">
        <v>830</v>
      </c>
      <c r="JN28" s="123" t="s">
        <v>897</v>
      </c>
      <c r="JO28" s="123" t="s">
        <v>898</v>
      </c>
      <c r="JP28" s="123" t="s">
        <v>899</v>
      </c>
      <c r="JQ28" s="123" t="s">
        <v>897</v>
      </c>
      <c r="JR28" s="123" t="s">
        <v>898</v>
      </c>
      <c r="JS28" s="123" t="s">
        <v>899</v>
      </c>
      <c r="JT28" s="123" t="s">
        <v>897</v>
      </c>
      <c r="JU28" s="123" t="s">
        <v>898</v>
      </c>
      <c r="JV28" s="123" t="s">
        <v>899</v>
      </c>
      <c r="JW28" s="123" t="s">
        <v>897</v>
      </c>
      <c r="JX28" s="123" t="s">
        <v>898</v>
      </c>
      <c r="JY28" s="123" t="s">
        <v>899</v>
      </c>
      <c r="JZ28" s="123"/>
      <c r="KA28" s="123"/>
      <c r="KB28" s="123"/>
      <c r="KC28" s="123"/>
      <c r="KD28" s="123"/>
      <c r="KE28" s="123"/>
      <c r="KF28" s="123"/>
      <c r="KG28" s="123"/>
      <c r="KH28" s="123"/>
      <c r="KI28" s="123"/>
      <c r="KJ28" s="123"/>
      <c r="KK28" s="123" t="s">
        <v>900</v>
      </c>
      <c r="KL28" s="123" t="s">
        <v>901</v>
      </c>
      <c r="KM28" s="123" t="s">
        <v>902</v>
      </c>
      <c r="KN28" s="123" t="s">
        <v>900</v>
      </c>
      <c r="KO28" s="123" t="s">
        <v>901</v>
      </c>
      <c r="KP28" s="123" t="s">
        <v>902</v>
      </c>
      <c r="KQ28" s="123" t="s">
        <v>900</v>
      </c>
      <c r="KR28" s="123" t="s">
        <v>901</v>
      </c>
      <c r="KS28" s="123" t="s">
        <v>902</v>
      </c>
      <c r="KT28" s="123" t="s">
        <v>900</v>
      </c>
      <c r="KU28" s="123" t="s">
        <v>901</v>
      </c>
      <c r="KV28" s="123" t="s">
        <v>902</v>
      </c>
      <c r="KW28" s="123" t="s">
        <v>900</v>
      </c>
      <c r="KX28" s="123" t="s">
        <v>901</v>
      </c>
      <c r="KY28" s="123" t="s">
        <v>902</v>
      </c>
      <c r="KZ28" s="123" t="s">
        <v>900</v>
      </c>
      <c r="LA28" s="123" t="s">
        <v>901</v>
      </c>
      <c r="LB28" s="123" t="s">
        <v>902</v>
      </c>
      <c r="LC28" s="123" t="s">
        <v>828</v>
      </c>
      <c r="LD28" s="123" t="s">
        <v>829</v>
      </c>
      <c r="LE28" s="123" t="s">
        <v>830</v>
      </c>
      <c r="LF28" s="123" t="s">
        <v>828</v>
      </c>
      <c r="LG28" s="123" t="s">
        <v>829</v>
      </c>
      <c r="LH28" s="123" t="s">
        <v>830</v>
      </c>
      <c r="LI28" s="123" t="s">
        <v>828</v>
      </c>
      <c r="LJ28" s="123" t="s">
        <v>829</v>
      </c>
      <c r="LK28" s="123" t="s">
        <v>830</v>
      </c>
      <c r="LL28" s="123" t="s">
        <v>828</v>
      </c>
      <c r="LM28" s="123" t="s">
        <v>829</v>
      </c>
      <c r="LN28" s="123" t="s">
        <v>830</v>
      </c>
      <c r="LO28" s="123" t="s">
        <v>828</v>
      </c>
      <c r="LP28" s="123" t="s">
        <v>829</v>
      </c>
      <c r="LQ28" s="123" t="s">
        <v>830</v>
      </c>
      <c r="LR28" s="123" t="s">
        <v>828</v>
      </c>
      <c r="LS28" s="123" t="s">
        <v>829</v>
      </c>
      <c r="LT28" s="123" t="s">
        <v>830</v>
      </c>
      <c r="LU28" s="123"/>
      <c r="LV28" s="123"/>
      <c r="LW28" s="123"/>
      <c r="LX28" s="123"/>
      <c r="LY28" s="123"/>
      <c r="LZ28" s="123"/>
      <c r="MA28" s="123"/>
      <c r="MB28" s="123"/>
      <c r="MC28" s="123"/>
      <c r="MD28" s="123"/>
      <c r="ME28" s="123"/>
      <c r="MF28" s="123"/>
      <c r="MG28" s="123"/>
      <c r="MH28" s="123"/>
      <c r="MI28" s="123"/>
      <c r="MJ28" s="123"/>
      <c r="MK28" s="123"/>
      <c r="ML28" s="123"/>
      <c r="MM28" s="123"/>
      <c r="MN28" s="123"/>
      <c r="MO28" s="123"/>
      <c r="MP28" s="123"/>
      <c r="MQ28" s="123" t="s">
        <v>828</v>
      </c>
      <c r="MR28" s="123" t="s">
        <v>829</v>
      </c>
      <c r="MS28" s="123" t="s">
        <v>830</v>
      </c>
      <c r="MT28" s="123" t="s">
        <v>828</v>
      </c>
      <c r="MU28" s="123" t="s">
        <v>829</v>
      </c>
      <c r="MV28" s="123" t="s">
        <v>830</v>
      </c>
      <c r="MW28" s="123" t="s">
        <v>828</v>
      </c>
      <c r="MX28" s="123" t="s">
        <v>829</v>
      </c>
      <c r="MY28" s="123" t="s">
        <v>830</v>
      </c>
      <c r="MZ28" s="123"/>
      <c r="NA28" s="123"/>
      <c r="NB28" s="123"/>
      <c r="NC28" s="123"/>
      <c r="ND28" s="123"/>
      <c r="NE28" s="123"/>
      <c r="NF28" s="123"/>
      <c r="NG28" s="123"/>
      <c r="NH28" s="123"/>
      <c r="NI28" s="123"/>
      <c r="NJ28" s="123"/>
      <c r="NK28" s="123"/>
      <c r="NL28" s="123"/>
      <c r="NM28" s="123"/>
      <c r="NN28" s="123"/>
      <c r="NO28" s="123"/>
      <c r="NP28" s="123"/>
      <c r="NQ28" s="123"/>
      <c r="NR28" s="123"/>
      <c r="NS28" s="123"/>
      <c r="NT28" s="123"/>
      <c r="NU28" s="123"/>
      <c r="NV28" s="123" t="s">
        <v>828</v>
      </c>
      <c r="NW28" s="123" t="s">
        <v>828</v>
      </c>
      <c r="NX28" s="123" t="s">
        <v>829</v>
      </c>
      <c r="NY28" s="123" t="s">
        <v>830</v>
      </c>
      <c r="NZ28" s="123" t="s">
        <v>828</v>
      </c>
      <c r="OA28" s="123" t="s">
        <v>829</v>
      </c>
      <c r="OB28" s="123" t="s">
        <v>830</v>
      </c>
      <c r="OC28" s="123" t="s">
        <v>828</v>
      </c>
      <c r="OD28" s="123" t="s">
        <v>829</v>
      </c>
      <c r="OE28" s="123" t="s">
        <v>830</v>
      </c>
      <c r="OF28" s="123"/>
      <c r="OG28" s="123"/>
      <c r="OH28" s="123"/>
    </row>
    <row r="29" spans="1:398" x14ac:dyDescent="0.35">
      <c r="A29" s="102"/>
      <c r="B29" s="167">
        <v>1</v>
      </c>
      <c r="C29" s="171" t="s">
        <v>903</v>
      </c>
      <c r="D29" s="124" t="s">
        <v>904</v>
      </c>
      <c r="E29" s="124" t="s">
        <v>905</v>
      </c>
      <c r="F29" s="125" t="s">
        <v>906</v>
      </c>
      <c r="G29" s="125" t="s">
        <v>739</v>
      </c>
      <c r="H29" s="125"/>
      <c r="I29" s="95">
        <v>0</v>
      </c>
      <c r="J29" s="95">
        <v>0</v>
      </c>
      <c r="K29" s="95">
        <v>0</v>
      </c>
      <c r="L29" s="95">
        <v>0</v>
      </c>
      <c r="M29" s="95">
        <v>0</v>
      </c>
      <c r="N29" s="95">
        <v>0</v>
      </c>
      <c r="O29" s="126">
        <f t="shared" ref="O29:O34" si="7">SUM(P29,R29)</f>
        <v>0</v>
      </c>
      <c r="P29" s="95">
        <v>0</v>
      </c>
      <c r="Q29" s="95">
        <v>0</v>
      </c>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c r="CJ29" s="127"/>
      <c r="CK29" s="127"/>
      <c r="CL29" s="127"/>
      <c r="CM29" s="127"/>
      <c r="CN29" s="127"/>
      <c r="CO29" s="127"/>
      <c r="CP29" s="127"/>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c r="DQ29" s="127"/>
      <c r="DR29" s="127"/>
      <c r="DS29" s="127"/>
      <c r="DT29" s="127"/>
      <c r="DU29" s="127"/>
      <c r="DV29" s="127"/>
      <c r="DW29" s="127"/>
      <c r="DX29" s="127"/>
      <c r="DY29" s="127"/>
      <c r="DZ29" s="127"/>
      <c r="EA29" s="127"/>
      <c r="EB29" s="127"/>
      <c r="EC29" s="127"/>
      <c r="ED29" s="127"/>
      <c r="EE29" s="127"/>
      <c r="EF29" s="127"/>
      <c r="EG29" s="127"/>
      <c r="EH29" s="127"/>
      <c r="EI29" s="127"/>
      <c r="EJ29" s="127"/>
      <c r="EK29" s="127"/>
      <c r="EL29" s="127"/>
      <c r="EM29" s="127"/>
      <c r="EN29" s="127"/>
      <c r="EO29" s="127"/>
      <c r="EP29" s="127"/>
      <c r="EQ29" s="127"/>
      <c r="ER29" s="127"/>
      <c r="ES29" s="127"/>
      <c r="ET29" s="127"/>
      <c r="EU29" s="127"/>
      <c r="EV29" s="127"/>
      <c r="EW29" s="127"/>
      <c r="EX29" s="127"/>
      <c r="EY29" s="127"/>
      <c r="EZ29" s="127"/>
      <c r="FA29" s="127"/>
      <c r="FB29" s="127"/>
      <c r="FC29" s="127"/>
      <c r="FD29" s="127"/>
      <c r="FE29" s="127"/>
      <c r="FF29" s="127"/>
      <c r="FG29" s="127"/>
      <c r="FH29" s="127"/>
      <c r="FI29" s="127"/>
      <c r="FJ29" s="127"/>
      <c r="FK29" s="127"/>
      <c r="FL29" s="127"/>
      <c r="FM29" s="127"/>
      <c r="FN29" s="127"/>
      <c r="FO29" s="127"/>
      <c r="FP29" s="127"/>
      <c r="FQ29" s="127"/>
      <c r="FR29" s="127"/>
      <c r="FS29" s="127"/>
      <c r="FT29" s="127"/>
      <c r="FU29" s="127"/>
      <c r="FV29" s="127"/>
      <c r="FW29" s="127"/>
      <c r="FX29" s="127"/>
      <c r="FY29" s="127"/>
      <c r="FZ29" s="127"/>
      <c r="GA29" s="127"/>
      <c r="GB29" s="127"/>
      <c r="GC29" s="127"/>
      <c r="GD29" s="127"/>
      <c r="GE29" s="127"/>
      <c r="GF29" s="127"/>
      <c r="GG29" s="127"/>
      <c r="GH29" s="127"/>
      <c r="GI29" s="127"/>
      <c r="GJ29" s="127"/>
      <c r="GK29" s="127"/>
      <c r="GL29" s="127"/>
      <c r="GM29" s="127"/>
      <c r="GN29" s="127"/>
      <c r="GO29" s="127"/>
      <c r="GP29" s="127"/>
      <c r="GQ29" s="127"/>
      <c r="GR29" s="127"/>
      <c r="GS29" s="127"/>
      <c r="GT29" s="127"/>
      <c r="GU29" s="127"/>
      <c r="GV29" s="127"/>
      <c r="GW29" s="127"/>
      <c r="GX29" s="127"/>
      <c r="GY29" s="127"/>
      <c r="GZ29" s="127"/>
      <c r="HA29" s="127"/>
      <c r="HB29" s="127"/>
      <c r="HC29" s="127"/>
      <c r="HD29" s="127"/>
      <c r="HE29" s="127"/>
      <c r="HF29" s="127"/>
      <c r="HG29" s="127"/>
      <c r="HH29" s="127"/>
      <c r="HI29" s="127"/>
      <c r="HJ29" s="127"/>
      <c r="HK29" s="127"/>
      <c r="HL29" s="127"/>
      <c r="HM29" s="127"/>
      <c r="HN29" s="127"/>
      <c r="HO29" s="127"/>
      <c r="HP29" s="127"/>
      <c r="HQ29" s="127"/>
      <c r="HR29" s="127"/>
      <c r="HS29" s="127"/>
      <c r="HT29" s="127"/>
      <c r="HU29" s="127"/>
      <c r="HV29" s="127"/>
      <c r="HW29" s="127"/>
      <c r="HX29" s="127"/>
      <c r="HY29" s="127"/>
      <c r="HZ29" s="127"/>
      <c r="IA29" s="127"/>
      <c r="IB29" s="127"/>
      <c r="IC29" s="127"/>
      <c r="ID29" s="127"/>
      <c r="IE29" s="127"/>
      <c r="IF29" s="127"/>
      <c r="IG29" s="127"/>
      <c r="IH29" s="127"/>
      <c r="II29" s="127"/>
      <c r="IJ29" s="127"/>
      <c r="IK29" s="127"/>
      <c r="IL29" s="127"/>
      <c r="IM29" s="127"/>
      <c r="IN29" s="127"/>
      <c r="IO29" s="127"/>
      <c r="IP29" s="127"/>
      <c r="IQ29" s="127"/>
      <c r="IR29" s="127"/>
      <c r="IS29" s="127"/>
      <c r="IT29" s="127"/>
      <c r="IU29" s="127"/>
      <c r="IV29" s="127"/>
      <c r="IW29" s="127"/>
      <c r="IX29" s="127"/>
      <c r="IY29" s="127"/>
      <c r="IZ29" s="127"/>
      <c r="JA29" s="127"/>
      <c r="JB29" s="127"/>
      <c r="JC29" s="127"/>
      <c r="JD29" s="127"/>
      <c r="JE29" s="127"/>
      <c r="JF29" s="127"/>
      <c r="JG29" s="127"/>
      <c r="JH29" s="127"/>
      <c r="JI29" s="127"/>
      <c r="JJ29" s="127"/>
      <c r="JK29" s="127"/>
      <c r="JL29" s="127"/>
      <c r="JM29" s="127"/>
      <c r="JN29" s="127"/>
      <c r="JO29" s="127"/>
      <c r="JP29" s="127"/>
      <c r="JQ29" s="127"/>
      <c r="JR29" s="127"/>
      <c r="JS29" s="127"/>
      <c r="JT29" s="127"/>
      <c r="JU29" s="127"/>
      <c r="JV29" s="127"/>
      <c r="JW29" s="127"/>
      <c r="JX29" s="127"/>
      <c r="JY29" s="127"/>
      <c r="JZ29" s="127"/>
      <c r="KA29" s="127"/>
      <c r="KB29" s="127"/>
      <c r="KC29" s="127"/>
      <c r="KD29" s="127"/>
      <c r="KE29" s="127"/>
      <c r="KF29" s="127"/>
      <c r="KG29" s="127"/>
      <c r="KH29" s="127"/>
      <c r="KI29" s="127"/>
      <c r="KJ29" s="127"/>
      <c r="KK29" s="127"/>
      <c r="KL29" s="127"/>
      <c r="KM29" s="127"/>
      <c r="KN29" s="127"/>
      <c r="KO29" s="127"/>
      <c r="KP29" s="127"/>
      <c r="KQ29" s="127"/>
      <c r="KR29" s="127"/>
      <c r="KS29" s="127"/>
      <c r="KT29" s="127"/>
      <c r="KU29" s="127"/>
      <c r="KV29" s="127"/>
      <c r="KW29" s="127"/>
      <c r="KX29" s="127"/>
      <c r="KY29" s="127"/>
      <c r="KZ29" s="127"/>
      <c r="LA29" s="127"/>
      <c r="LB29" s="127"/>
      <c r="LC29" s="127"/>
      <c r="LD29" s="127"/>
      <c r="LE29" s="127"/>
      <c r="LF29" s="127"/>
      <c r="LG29" s="127"/>
      <c r="LH29" s="127"/>
      <c r="LI29" s="127"/>
      <c r="LJ29" s="127"/>
      <c r="LK29" s="127"/>
      <c r="LL29" s="127"/>
      <c r="LM29" s="127"/>
      <c r="LN29" s="127"/>
      <c r="LO29" s="127"/>
      <c r="LP29" s="127"/>
      <c r="LQ29" s="127"/>
      <c r="LR29" s="127"/>
      <c r="LS29" s="127"/>
      <c r="LT29" s="127"/>
      <c r="LU29" s="127"/>
      <c r="LV29" s="127"/>
      <c r="LW29" s="127"/>
      <c r="LX29" s="127"/>
      <c r="LY29" s="127"/>
      <c r="LZ29" s="127"/>
      <c r="MA29" s="127"/>
      <c r="MB29" s="127"/>
      <c r="MC29" s="127"/>
      <c r="MD29" s="127"/>
      <c r="ME29" s="127"/>
      <c r="MF29" s="127"/>
      <c r="MG29" s="127"/>
      <c r="MH29" s="127"/>
      <c r="MI29" s="127"/>
      <c r="MJ29" s="127"/>
      <c r="MK29" s="127"/>
      <c r="ML29" s="127"/>
      <c r="MM29" s="127"/>
      <c r="MN29" s="127"/>
      <c r="MO29" s="127"/>
      <c r="MP29" s="127"/>
      <c r="MQ29" s="127"/>
      <c r="MR29" s="127"/>
      <c r="MS29" s="127"/>
      <c r="MT29" s="127"/>
      <c r="MU29" s="127"/>
      <c r="MV29" s="127"/>
      <c r="MW29" s="127"/>
      <c r="MX29" s="127"/>
      <c r="MY29" s="127"/>
      <c r="MZ29" s="127"/>
      <c r="NA29" s="127"/>
      <c r="NB29" s="127"/>
      <c r="NC29" s="127"/>
      <c r="ND29" s="127"/>
      <c r="NE29" s="127"/>
      <c r="NF29" s="127"/>
      <c r="NG29" s="127"/>
      <c r="NH29" s="127"/>
      <c r="NI29" s="127"/>
      <c r="NJ29" s="127"/>
      <c r="NK29" s="127"/>
      <c r="NL29" s="127"/>
      <c r="NM29" s="127"/>
      <c r="NN29" s="127"/>
      <c r="NO29" s="127"/>
      <c r="NP29" s="127"/>
      <c r="NQ29" s="127"/>
      <c r="NR29" s="127"/>
      <c r="NS29" s="127"/>
      <c r="NT29" s="127"/>
      <c r="NU29" s="127"/>
      <c r="NV29" s="127"/>
      <c r="NW29" s="127"/>
      <c r="NX29" s="127"/>
      <c r="NY29" s="127"/>
      <c r="NZ29" s="127"/>
      <c r="OA29" s="127"/>
      <c r="OB29" s="127"/>
      <c r="OC29" s="127"/>
      <c r="OD29" s="127"/>
      <c r="OE29" s="127"/>
      <c r="OF29" s="127"/>
      <c r="OG29" s="127"/>
      <c r="OH29" s="128"/>
    </row>
    <row r="30" spans="1:398" x14ac:dyDescent="0.35">
      <c r="A30" s="102"/>
      <c r="B30" s="168">
        <f t="shared" ref="B30:B93" si="8">1+B29</f>
        <v>2</v>
      </c>
      <c r="C30" s="171" t="s">
        <v>903</v>
      </c>
      <c r="D30" s="124" t="s">
        <v>904</v>
      </c>
      <c r="E30" s="124" t="s">
        <v>905</v>
      </c>
      <c r="F30" s="125" t="s">
        <v>906</v>
      </c>
      <c r="G30" s="125" t="s">
        <v>740</v>
      </c>
      <c r="H30" s="125"/>
      <c r="I30" s="129">
        <v>0</v>
      </c>
      <c r="J30" s="129">
        <v>0</v>
      </c>
      <c r="K30" s="129">
        <v>0</v>
      </c>
      <c r="L30" s="129">
        <v>0</v>
      </c>
      <c r="M30" s="129">
        <v>0</v>
      </c>
      <c r="N30" s="129">
        <v>0</v>
      </c>
      <c r="O30" s="130">
        <f t="shared" si="7"/>
        <v>0</v>
      </c>
      <c r="P30" s="129">
        <v>0</v>
      </c>
      <c r="Q30" s="129">
        <v>0</v>
      </c>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c r="CD30" s="131"/>
      <c r="CE30" s="131"/>
      <c r="CF30" s="131"/>
      <c r="CG30" s="131"/>
      <c r="CH30" s="131"/>
      <c r="CI30" s="131"/>
      <c r="CJ30" s="131"/>
      <c r="CK30" s="131"/>
      <c r="CL30" s="131"/>
      <c r="CM30" s="131"/>
      <c r="CN30" s="131"/>
      <c r="CO30" s="131"/>
      <c r="CP30" s="131"/>
      <c r="CQ30" s="131"/>
      <c r="CR30" s="131"/>
      <c r="CS30" s="131"/>
      <c r="CT30" s="131"/>
      <c r="CU30" s="131"/>
      <c r="CV30" s="131"/>
      <c r="CW30" s="131"/>
      <c r="CX30" s="131"/>
      <c r="CY30" s="131"/>
      <c r="CZ30" s="131"/>
      <c r="DA30" s="131"/>
      <c r="DB30" s="131"/>
      <c r="DC30" s="131"/>
      <c r="DD30" s="131"/>
      <c r="DE30" s="131"/>
      <c r="DF30" s="131"/>
      <c r="DG30" s="131"/>
      <c r="DH30" s="131"/>
      <c r="DI30" s="131"/>
      <c r="DJ30" s="131"/>
      <c r="DK30" s="131"/>
      <c r="DL30" s="131"/>
      <c r="DM30" s="131"/>
      <c r="DN30" s="131"/>
      <c r="DO30" s="131"/>
      <c r="DP30" s="131"/>
      <c r="DQ30" s="131"/>
      <c r="DR30" s="131"/>
      <c r="DS30" s="131"/>
      <c r="DT30" s="131"/>
      <c r="DU30" s="131"/>
      <c r="DV30" s="131"/>
      <c r="DW30" s="131"/>
      <c r="DX30" s="131"/>
      <c r="DY30" s="131"/>
      <c r="DZ30" s="131"/>
      <c r="EA30" s="131"/>
      <c r="EB30" s="131"/>
      <c r="EC30" s="131"/>
      <c r="ED30" s="131"/>
      <c r="EE30" s="131"/>
      <c r="EF30" s="131"/>
      <c r="EG30" s="131"/>
      <c r="EH30" s="131"/>
      <c r="EI30" s="131"/>
      <c r="EJ30" s="131"/>
      <c r="EK30" s="131"/>
      <c r="EL30" s="131"/>
      <c r="EM30" s="131"/>
      <c r="EN30" s="131"/>
      <c r="EO30" s="131"/>
      <c r="EP30" s="131"/>
      <c r="EQ30" s="131"/>
      <c r="ER30" s="131"/>
      <c r="ES30" s="131"/>
      <c r="ET30" s="131"/>
      <c r="EU30" s="131"/>
      <c r="EV30" s="131"/>
      <c r="EW30" s="131"/>
      <c r="EX30" s="131"/>
      <c r="EY30" s="131"/>
      <c r="EZ30" s="131"/>
      <c r="FA30" s="131"/>
      <c r="FB30" s="131"/>
      <c r="FC30" s="131"/>
      <c r="FD30" s="131"/>
      <c r="FE30" s="131"/>
      <c r="FF30" s="131"/>
      <c r="FG30" s="131"/>
      <c r="FH30" s="131"/>
      <c r="FI30" s="131"/>
      <c r="FJ30" s="131"/>
      <c r="FK30" s="131"/>
      <c r="FL30" s="131"/>
      <c r="FM30" s="131"/>
      <c r="FN30" s="131"/>
      <c r="FO30" s="131"/>
      <c r="FP30" s="131"/>
      <c r="FQ30" s="131"/>
      <c r="FR30" s="131"/>
      <c r="FS30" s="131"/>
      <c r="FT30" s="131"/>
      <c r="FU30" s="131"/>
      <c r="FV30" s="131"/>
      <c r="FW30" s="131"/>
      <c r="FX30" s="131"/>
      <c r="FY30" s="131"/>
      <c r="FZ30" s="131"/>
      <c r="GA30" s="131"/>
      <c r="GB30" s="131"/>
      <c r="GC30" s="131"/>
      <c r="GD30" s="131"/>
      <c r="GE30" s="131"/>
      <c r="GF30" s="131"/>
      <c r="GG30" s="131"/>
      <c r="GH30" s="131"/>
      <c r="GI30" s="131"/>
      <c r="GJ30" s="131"/>
      <c r="GK30" s="131"/>
      <c r="GL30" s="131"/>
      <c r="GM30" s="131"/>
      <c r="GN30" s="131"/>
      <c r="GO30" s="131"/>
      <c r="GP30" s="131"/>
      <c r="GQ30" s="131"/>
      <c r="GR30" s="131"/>
      <c r="GS30" s="131"/>
      <c r="GT30" s="131"/>
      <c r="GU30" s="131"/>
      <c r="GV30" s="131"/>
      <c r="GW30" s="131"/>
      <c r="GX30" s="131"/>
      <c r="GY30" s="131"/>
      <c r="GZ30" s="131"/>
      <c r="HA30" s="131"/>
      <c r="HB30" s="131"/>
      <c r="HC30" s="131"/>
      <c r="HD30" s="131"/>
      <c r="HE30" s="131"/>
      <c r="HF30" s="131"/>
      <c r="HG30" s="131"/>
      <c r="HH30" s="131"/>
      <c r="HI30" s="131"/>
      <c r="HJ30" s="131"/>
      <c r="HK30" s="131"/>
      <c r="HL30" s="131"/>
      <c r="HM30" s="131"/>
      <c r="HN30" s="131"/>
      <c r="HO30" s="131"/>
      <c r="HP30" s="131"/>
      <c r="HQ30" s="131"/>
      <c r="HR30" s="131"/>
      <c r="HS30" s="131"/>
      <c r="HT30" s="131"/>
      <c r="HU30" s="131"/>
      <c r="HV30" s="131"/>
      <c r="HW30" s="131"/>
      <c r="HX30" s="131"/>
      <c r="HY30" s="131"/>
      <c r="HZ30" s="131"/>
      <c r="IA30" s="131"/>
      <c r="IB30" s="131"/>
      <c r="IC30" s="131"/>
      <c r="ID30" s="131"/>
      <c r="IE30" s="131"/>
      <c r="IF30" s="131"/>
      <c r="IG30" s="131"/>
      <c r="IH30" s="131"/>
      <c r="II30" s="131"/>
      <c r="IJ30" s="131"/>
      <c r="IK30" s="131"/>
      <c r="IL30" s="131"/>
      <c r="IM30" s="131"/>
      <c r="IN30" s="131"/>
      <c r="IO30" s="131"/>
      <c r="IP30" s="131"/>
      <c r="IQ30" s="131"/>
      <c r="IR30" s="131"/>
      <c r="IS30" s="131"/>
      <c r="IT30" s="131"/>
      <c r="IU30" s="131"/>
      <c r="IV30" s="131"/>
      <c r="IW30" s="131"/>
      <c r="IX30" s="131"/>
      <c r="IY30" s="131"/>
      <c r="IZ30" s="131"/>
      <c r="JA30" s="131"/>
      <c r="JB30" s="131"/>
      <c r="JC30" s="131"/>
      <c r="JD30" s="131"/>
      <c r="JE30" s="131"/>
      <c r="JF30" s="131"/>
      <c r="JG30" s="131"/>
      <c r="JH30" s="131"/>
      <c r="JI30" s="131"/>
      <c r="JJ30" s="131"/>
      <c r="JK30" s="131"/>
      <c r="JL30" s="131"/>
      <c r="JM30" s="131"/>
      <c r="JN30" s="131"/>
      <c r="JO30" s="131"/>
      <c r="JP30" s="131"/>
      <c r="JQ30" s="131"/>
      <c r="JR30" s="131"/>
      <c r="JS30" s="131"/>
      <c r="JT30" s="131"/>
      <c r="JU30" s="131"/>
      <c r="JV30" s="131"/>
      <c r="JW30" s="131"/>
      <c r="JX30" s="131"/>
      <c r="JY30" s="131"/>
      <c r="JZ30" s="131"/>
      <c r="KA30" s="131"/>
      <c r="KB30" s="131"/>
      <c r="KC30" s="131"/>
      <c r="KD30" s="131"/>
      <c r="KE30" s="131"/>
      <c r="KF30" s="131"/>
      <c r="KG30" s="131"/>
      <c r="KH30" s="131"/>
      <c r="KI30" s="131"/>
      <c r="KJ30" s="131"/>
      <c r="KK30" s="131"/>
      <c r="KL30" s="131"/>
      <c r="KM30" s="131"/>
      <c r="KN30" s="131"/>
      <c r="KO30" s="131"/>
      <c r="KP30" s="131"/>
      <c r="KQ30" s="131"/>
      <c r="KR30" s="131"/>
      <c r="KS30" s="131"/>
      <c r="KT30" s="131"/>
      <c r="KU30" s="131"/>
      <c r="KV30" s="131"/>
      <c r="KW30" s="131"/>
      <c r="KX30" s="131"/>
      <c r="KY30" s="131"/>
      <c r="KZ30" s="131"/>
      <c r="LA30" s="131"/>
      <c r="LB30" s="131"/>
      <c r="LC30" s="131"/>
      <c r="LD30" s="131"/>
      <c r="LE30" s="131"/>
      <c r="LF30" s="131"/>
      <c r="LG30" s="131"/>
      <c r="LH30" s="131"/>
      <c r="LI30" s="131"/>
      <c r="LJ30" s="131"/>
      <c r="LK30" s="131"/>
      <c r="LL30" s="131"/>
      <c r="LM30" s="131"/>
      <c r="LN30" s="131"/>
      <c r="LO30" s="131"/>
      <c r="LP30" s="131"/>
      <c r="LQ30" s="131"/>
      <c r="LR30" s="131"/>
      <c r="LS30" s="131"/>
      <c r="LT30" s="131"/>
      <c r="LU30" s="131"/>
      <c r="LV30" s="131"/>
      <c r="LW30" s="131"/>
      <c r="LX30" s="131"/>
      <c r="LY30" s="131"/>
      <c r="LZ30" s="131"/>
      <c r="MA30" s="131"/>
      <c r="MB30" s="131"/>
      <c r="MC30" s="131"/>
      <c r="MD30" s="131"/>
      <c r="ME30" s="131"/>
      <c r="MF30" s="131"/>
      <c r="MG30" s="131"/>
      <c r="MH30" s="131"/>
      <c r="MI30" s="131"/>
      <c r="MJ30" s="131"/>
      <c r="MK30" s="131"/>
      <c r="ML30" s="131"/>
      <c r="MM30" s="131"/>
      <c r="MN30" s="131"/>
      <c r="MO30" s="131"/>
      <c r="MP30" s="131"/>
      <c r="MQ30" s="131"/>
      <c r="MR30" s="131"/>
      <c r="MS30" s="131"/>
      <c r="MT30" s="131"/>
      <c r="MU30" s="131"/>
      <c r="MV30" s="131"/>
      <c r="MW30" s="131"/>
      <c r="MX30" s="131"/>
      <c r="MY30" s="131"/>
      <c r="MZ30" s="131"/>
      <c r="NA30" s="131"/>
      <c r="NB30" s="131"/>
      <c r="NC30" s="131"/>
      <c r="ND30" s="131"/>
      <c r="NE30" s="131"/>
      <c r="NF30" s="131"/>
      <c r="NG30" s="131"/>
      <c r="NH30" s="131"/>
      <c r="NI30" s="131"/>
      <c r="NJ30" s="131"/>
      <c r="NK30" s="131"/>
      <c r="NL30" s="131"/>
      <c r="NM30" s="131"/>
      <c r="NN30" s="131"/>
      <c r="NO30" s="131"/>
      <c r="NP30" s="131"/>
      <c r="NQ30" s="131"/>
      <c r="NR30" s="131"/>
      <c r="NS30" s="131"/>
      <c r="NT30" s="131"/>
      <c r="NU30" s="131"/>
      <c r="NV30" s="131"/>
      <c r="NW30" s="131"/>
      <c r="NX30" s="131"/>
      <c r="NY30" s="131"/>
      <c r="NZ30" s="131"/>
      <c r="OA30" s="131"/>
      <c r="OB30" s="131"/>
      <c r="OC30" s="131"/>
      <c r="OD30" s="131"/>
      <c r="OE30" s="131"/>
      <c r="OF30" s="131"/>
      <c r="OG30" s="131"/>
      <c r="OH30" s="132"/>
    </row>
    <row r="31" spans="1:398" x14ac:dyDescent="0.35">
      <c r="A31" s="102"/>
      <c r="B31" s="168">
        <f t="shared" si="8"/>
        <v>3</v>
      </c>
      <c r="C31" s="171" t="s">
        <v>903</v>
      </c>
      <c r="D31" s="124" t="s">
        <v>904</v>
      </c>
      <c r="E31" s="124" t="s">
        <v>905</v>
      </c>
      <c r="F31" s="125" t="s">
        <v>906</v>
      </c>
      <c r="G31" s="125" t="s">
        <v>741</v>
      </c>
      <c r="H31" s="125"/>
      <c r="I31" s="129">
        <v>0</v>
      </c>
      <c r="J31" s="129">
        <v>0</v>
      </c>
      <c r="K31" s="129">
        <v>0</v>
      </c>
      <c r="L31" s="129">
        <v>0</v>
      </c>
      <c r="M31" s="129">
        <v>0</v>
      </c>
      <c r="N31" s="129">
        <v>0</v>
      </c>
      <c r="O31" s="130">
        <f t="shared" si="7"/>
        <v>0</v>
      </c>
      <c r="P31" s="129">
        <v>0</v>
      </c>
      <c r="Q31" s="129">
        <v>0</v>
      </c>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c r="BP31" s="131"/>
      <c r="BQ31" s="131"/>
      <c r="BR31" s="131"/>
      <c r="BS31" s="131"/>
      <c r="BT31" s="131"/>
      <c r="BU31" s="131"/>
      <c r="BV31" s="131"/>
      <c r="BW31" s="131"/>
      <c r="BX31" s="131"/>
      <c r="BY31" s="131"/>
      <c r="BZ31" s="131"/>
      <c r="CA31" s="131"/>
      <c r="CB31" s="131"/>
      <c r="CC31" s="131"/>
      <c r="CD31" s="131"/>
      <c r="CE31" s="131"/>
      <c r="CF31" s="131"/>
      <c r="CG31" s="131"/>
      <c r="CH31" s="131"/>
      <c r="CI31" s="131"/>
      <c r="CJ31" s="131"/>
      <c r="CK31" s="131"/>
      <c r="CL31" s="131"/>
      <c r="CM31" s="131"/>
      <c r="CN31" s="131"/>
      <c r="CO31" s="131"/>
      <c r="CP31" s="131"/>
      <c r="CQ31" s="131"/>
      <c r="CR31" s="131"/>
      <c r="CS31" s="131"/>
      <c r="CT31" s="131"/>
      <c r="CU31" s="131"/>
      <c r="CV31" s="131"/>
      <c r="CW31" s="131"/>
      <c r="CX31" s="131"/>
      <c r="CY31" s="131"/>
      <c r="CZ31" s="131"/>
      <c r="DA31" s="131"/>
      <c r="DB31" s="131"/>
      <c r="DC31" s="131"/>
      <c r="DD31" s="131"/>
      <c r="DE31" s="131"/>
      <c r="DF31" s="131"/>
      <c r="DG31" s="131"/>
      <c r="DH31" s="131"/>
      <c r="DI31" s="131"/>
      <c r="DJ31" s="131"/>
      <c r="DK31" s="131"/>
      <c r="DL31" s="131"/>
      <c r="DM31" s="131"/>
      <c r="DN31" s="131"/>
      <c r="DO31" s="131"/>
      <c r="DP31" s="131"/>
      <c r="DQ31" s="131"/>
      <c r="DR31" s="131"/>
      <c r="DS31" s="131"/>
      <c r="DT31" s="131"/>
      <c r="DU31" s="131"/>
      <c r="DV31" s="131"/>
      <c r="DW31" s="131"/>
      <c r="DX31" s="131"/>
      <c r="DY31" s="131"/>
      <c r="DZ31" s="131"/>
      <c r="EA31" s="131"/>
      <c r="EB31" s="131"/>
      <c r="EC31" s="131"/>
      <c r="ED31" s="131"/>
      <c r="EE31" s="131"/>
      <c r="EF31" s="131"/>
      <c r="EG31" s="131"/>
      <c r="EH31" s="131"/>
      <c r="EI31" s="131"/>
      <c r="EJ31" s="131"/>
      <c r="EK31" s="131"/>
      <c r="EL31" s="131"/>
      <c r="EM31" s="131"/>
      <c r="EN31" s="131"/>
      <c r="EO31" s="131"/>
      <c r="EP31" s="131"/>
      <c r="EQ31" s="131"/>
      <c r="ER31" s="131"/>
      <c r="ES31" s="131"/>
      <c r="ET31" s="131"/>
      <c r="EU31" s="131"/>
      <c r="EV31" s="131"/>
      <c r="EW31" s="131"/>
      <c r="EX31" s="131"/>
      <c r="EY31" s="131"/>
      <c r="EZ31" s="131"/>
      <c r="FA31" s="131"/>
      <c r="FB31" s="131"/>
      <c r="FC31" s="131"/>
      <c r="FD31" s="131"/>
      <c r="FE31" s="131"/>
      <c r="FF31" s="131"/>
      <c r="FG31" s="131"/>
      <c r="FH31" s="131"/>
      <c r="FI31" s="131"/>
      <c r="FJ31" s="131"/>
      <c r="FK31" s="131"/>
      <c r="FL31" s="131"/>
      <c r="FM31" s="131"/>
      <c r="FN31" s="131"/>
      <c r="FO31" s="131"/>
      <c r="FP31" s="131"/>
      <c r="FQ31" s="131"/>
      <c r="FR31" s="131"/>
      <c r="FS31" s="131"/>
      <c r="FT31" s="131"/>
      <c r="FU31" s="131"/>
      <c r="FV31" s="131"/>
      <c r="FW31" s="131"/>
      <c r="FX31" s="131"/>
      <c r="FY31" s="131"/>
      <c r="FZ31" s="131"/>
      <c r="GA31" s="131"/>
      <c r="GB31" s="131"/>
      <c r="GC31" s="131"/>
      <c r="GD31" s="131"/>
      <c r="GE31" s="131"/>
      <c r="GF31" s="131"/>
      <c r="GG31" s="131"/>
      <c r="GH31" s="131"/>
      <c r="GI31" s="131"/>
      <c r="GJ31" s="131"/>
      <c r="GK31" s="131"/>
      <c r="GL31" s="131"/>
      <c r="GM31" s="131"/>
      <c r="GN31" s="131"/>
      <c r="GO31" s="131"/>
      <c r="GP31" s="131"/>
      <c r="GQ31" s="131"/>
      <c r="GR31" s="131"/>
      <c r="GS31" s="131"/>
      <c r="GT31" s="131"/>
      <c r="GU31" s="131"/>
      <c r="GV31" s="131"/>
      <c r="GW31" s="131"/>
      <c r="GX31" s="131"/>
      <c r="GY31" s="131"/>
      <c r="GZ31" s="131"/>
      <c r="HA31" s="131"/>
      <c r="HB31" s="131"/>
      <c r="HC31" s="131"/>
      <c r="HD31" s="131"/>
      <c r="HE31" s="131"/>
      <c r="HF31" s="131"/>
      <c r="HG31" s="131"/>
      <c r="HH31" s="131"/>
      <c r="HI31" s="131"/>
      <c r="HJ31" s="131"/>
      <c r="HK31" s="131"/>
      <c r="HL31" s="131"/>
      <c r="HM31" s="131"/>
      <c r="HN31" s="131"/>
      <c r="HO31" s="131"/>
      <c r="HP31" s="131"/>
      <c r="HQ31" s="131"/>
      <c r="HR31" s="131"/>
      <c r="HS31" s="131"/>
      <c r="HT31" s="131"/>
      <c r="HU31" s="131"/>
      <c r="HV31" s="131"/>
      <c r="HW31" s="131"/>
      <c r="HX31" s="131"/>
      <c r="HY31" s="131"/>
      <c r="HZ31" s="131"/>
      <c r="IA31" s="131"/>
      <c r="IB31" s="131"/>
      <c r="IC31" s="131"/>
      <c r="ID31" s="131"/>
      <c r="IE31" s="131"/>
      <c r="IF31" s="131"/>
      <c r="IG31" s="131"/>
      <c r="IH31" s="131"/>
      <c r="II31" s="131"/>
      <c r="IJ31" s="131"/>
      <c r="IK31" s="131"/>
      <c r="IL31" s="131"/>
      <c r="IM31" s="131"/>
      <c r="IN31" s="131"/>
      <c r="IO31" s="131"/>
      <c r="IP31" s="131"/>
      <c r="IQ31" s="131"/>
      <c r="IR31" s="131"/>
      <c r="IS31" s="131"/>
      <c r="IT31" s="131"/>
      <c r="IU31" s="131"/>
      <c r="IV31" s="131"/>
      <c r="IW31" s="131"/>
      <c r="IX31" s="131"/>
      <c r="IY31" s="131"/>
      <c r="IZ31" s="131"/>
      <c r="JA31" s="131"/>
      <c r="JB31" s="131"/>
      <c r="JC31" s="131"/>
      <c r="JD31" s="131"/>
      <c r="JE31" s="131"/>
      <c r="JF31" s="131"/>
      <c r="JG31" s="131"/>
      <c r="JH31" s="131"/>
      <c r="JI31" s="131"/>
      <c r="JJ31" s="131"/>
      <c r="JK31" s="131"/>
      <c r="JL31" s="131"/>
      <c r="JM31" s="131"/>
      <c r="JN31" s="131"/>
      <c r="JO31" s="131"/>
      <c r="JP31" s="131"/>
      <c r="JQ31" s="131"/>
      <c r="JR31" s="131"/>
      <c r="JS31" s="131"/>
      <c r="JT31" s="131"/>
      <c r="JU31" s="131"/>
      <c r="JV31" s="131"/>
      <c r="JW31" s="131"/>
      <c r="JX31" s="131"/>
      <c r="JY31" s="131"/>
      <c r="JZ31" s="131"/>
      <c r="KA31" s="131"/>
      <c r="KB31" s="131"/>
      <c r="KC31" s="131"/>
      <c r="KD31" s="131"/>
      <c r="KE31" s="131"/>
      <c r="KF31" s="131"/>
      <c r="KG31" s="131"/>
      <c r="KH31" s="131"/>
      <c r="KI31" s="131"/>
      <c r="KJ31" s="131"/>
      <c r="KK31" s="131"/>
      <c r="KL31" s="131"/>
      <c r="KM31" s="131"/>
      <c r="KN31" s="131"/>
      <c r="KO31" s="131"/>
      <c r="KP31" s="131"/>
      <c r="KQ31" s="131"/>
      <c r="KR31" s="131"/>
      <c r="KS31" s="131"/>
      <c r="KT31" s="131"/>
      <c r="KU31" s="131"/>
      <c r="KV31" s="131"/>
      <c r="KW31" s="131"/>
      <c r="KX31" s="131"/>
      <c r="KY31" s="131"/>
      <c r="KZ31" s="131"/>
      <c r="LA31" s="131"/>
      <c r="LB31" s="131"/>
      <c r="LC31" s="131"/>
      <c r="LD31" s="131"/>
      <c r="LE31" s="131"/>
      <c r="LF31" s="131"/>
      <c r="LG31" s="131"/>
      <c r="LH31" s="131"/>
      <c r="LI31" s="131"/>
      <c r="LJ31" s="131"/>
      <c r="LK31" s="131"/>
      <c r="LL31" s="131"/>
      <c r="LM31" s="131"/>
      <c r="LN31" s="131"/>
      <c r="LO31" s="131"/>
      <c r="LP31" s="131"/>
      <c r="LQ31" s="131"/>
      <c r="LR31" s="131"/>
      <c r="LS31" s="131"/>
      <c r="LT31" s="131"/>
      <c r="LU31" s="131"/>
      <c r="LV31" s="131"/>
      <c r="LW31" s="131"/>
      <c r="LX31" s="131"/>
      <c r="LY31" s="131"/>
      <c r="LZ31" s="131"/>
      <c r="MA31" s="131"/>
      <c r="MB31" s="131"/>
      <c r="MC31" s="131"/>
      <c r="MD31" s="131"/>
      <c r="ME31" s="131"/>
      <c r="MF31" s="131"/>
      <c r="MG31" s="131"/>
      <c r="MH31" s="131"/>
      <c r="MI31" s="131"/>
      <c r="MJ31" s="131"/>
      <c r="MK31" s="131"/>
      <c r="ML31" s="131"/>
      <c r="MM31" s="131"/>
      <c r="MN31" s="131"/>
      <c r="MO31" s="131"/>
      <c r="MP31" s="131"/>
      <c r="MQ31" s="131"/>
      <c r="MR31" s="131"/>
      <c r="MS31" s="131"/>
      <c r="MT31" s="131"/>
      <c r="MU31" s="131"/>
      <c r="MV31" s="131"/>
      <c r="MW31" s="131"/>
      <c r="MX31" s="131"/>
      <c r="MY31" s="131"/>
      <c r="MZ31" s="131"/>
      <c r="NA31" s="131"/>
      <c r="NB31" s="131"/>
      <c r="NC31" s="131"/>
      <c r="ND31" s="131"/>
      <c r="NE31" s="131"/>
      <c r="NF31" s="131"/>
      <c r="NG31" s="131"/>
      <c r="NH31" s="131"/>
      <c r="NI31" s="131"/>
      <c r="NJ31" s="131"/>
      <c r="NK31" s="131"/>
      <c r="NL31" s="131"/>
      <c r="NM31" s="131"/>
      <c r="NN31" s="131"/>
      <c r="NO31" s="131"/>
      <c r="NP31" s="131"/>
      <c r="NQ31" s="131"/>
      <c r="NR31" s="131"/>
      <c r="NS31" s="131"/>
      <c r="NT31" s="131"/>
      <c r="NU31" s="131"/>
      <c r="NV31" s="131"/>
      <c r="NW31" s="131"/>
      <c r="NX31" s="131"/>
      <c r="NY31" s="131"/>
      <c r="NZ31" s="131"/>
      <c r="OA31" s="131"/>
      <c r="OB31" s="131"/>
      <c r="OC31" s="131"/>
      <c r="OD31" s="131"/>
      <c r="OE31" s="131"/>
      <c r="OF31" s="131"/>
      <c r="OG31" s="131"/>
      <c r="OH31" s="132"/>
    </row>
    <row r="32" spans="1:398" x14ac:dyDescent="0.35">
      <c r="A32" s="102"/>
      <c r="B32" s="168">
        <f t="shared" si="8"/>
        <v>4</v>
      </c>
      <c r="C32" s="171" t="s">
        <v>903</v>
      </c>
      <c r="D32" s="124" t="s">
        <v>904</v>
      </c>
      <c r="E32" s="124" t="s">
        <v>905</v>
      </c>
      <c r="F32" s="125" t="s">
        <v>906</v>
      </c>
      <c r="G32" s="125" t="s">
        <v>742</v>
      </c>
      <c r="H32" s="125"/>
      <c r="I32" s="129">
        <v>0</v>
      </c>
      <c r="J32" s="129">
        <v>0</v>
      </c>
      <c r="K32" s="129">
        <v>0</v>
      </c>
      <c r="L32" s="129">
        <v>0</v>
      </c>
      <c r="M32" s="129">
        <v>0</v>
      </c>
      <c r="N32" s="129">
        <v>0</v>
      </c>
      <c r="O32" s="130">
        <f t="shared" si="7"/>
        <v>0</v>
      </c>
      <c r="P32" s="129">
        <v>0</v>
      </c>
      <c r="Q32" s="129">
        <v>0</v>
      </c>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c r="CR32" s="131"/>
      <c r="CS32" s="131"/>
      <c r="CT32" s="131"/>
      <c r="CU32" s="131"/>
      <c r="CV32" s="131"/>
      <c r="CW32" s="131"/>
      <c r="CX32" s="131"/>
      <c r="CY32" s="131"/>
      <c r="CZ32" s="131"/>
      <c r="DA32" s="131"/>
      <c r="DB32" s="131"/>
      <c r="DC32" s="131"/>
      <c r="DD32" s="131"/>
      <c r="DE32" s="131"/>
      <c r="DF32" s="131"/>
      <c r="DG32" s="131"/>
      <c r="DH32" s="131"/>
      <c r="DI32" s="131"/>
      <c r="DJ32" s="131"/>
      <c r="DK32" s="131"/>
      <c r="DL32" s="131"/>
      <c r="DM32" s="131"/>
      <c r="DN32" s="131"/>
      <c r="DO32" s="131"/>
      <c r="DP32" s="131"/>
      <c r="DQ32" s="131"/>
      <c r="DR32" s="131"/>
      <c r="DS32" s="131"/>
      <c r="DT32" s="131"/>
      <c r="DU32" s="131"/>
      <c r="DV32" s="131"/>
      <c r="DW32" s="131"/>
      <c r="DX32" s="131"/>
      <c r="DY32" s="131"/>
      <c r="DZ32" s="131"/>
      <c r="EA32" s="131"/>
      <c r="EB32" s="131"/>
      <c r="EC32" s="131"/>
      <c r="ED32" s="131"/>
      <c r="EE32" s="131"/>
      <c r="EF32" s="131"/>
      <c r="EG32" s="131"/>
      <c r="EH32" s="131"/>
      <c r="EI32" s="131"/>
      <c r="EJ32" s="131"/>
      <c r="EK32" s="131"/>
      <c r="EL32" s="131"/>
      <c r="EM32" s="131"/>
      <c r="EN32" s="131"/>
      <c r="EO32" s="131"/>
      <c r="EP32" s="131"/>
      <c r="EQ32" s="131"/>
      <c r="ER32" s="131"/>
      <c r="ES32" s="131"/>
      <c r="ET32" s="131"/>
      <c r="EU32" s="131"/>
      <c r="EV32" s="131"/>
      <c r="EW32" s="131"/>
      <c r="EX32" s="131"/>
      <c r="EY32" s="131"/>
      <c r="EZ32" s="131"/>
      <c r="FA32" s="131"/>
      <c r="FB32" s="131"/>
      <c r="FC32" s="131"/>
      <c r="FD32" s="131"/>
      <c r="FE32" s="131"/>
      <c r="FF32" s="131"/>
      <c r="FG32" s="131"/>
      <c r="FH32" s="131"/>
      <c r="FI32" s="131"/>
      <c r="FJ32" s="131"/>
      <c r="FK32" s="131"/>
      <c r="FL32" s="131"/>
      <c r="FM32" s="131"/>
      <c r="FN32" s="131"/>
      <c r="FO32" s="131"/>
      <c r="FP32" s="131"/>
      <c r="FQ32" s="131"/>
      <c r="FR32" s="131"/>
      <c r="FS32" s="131"/>
      <c r="FT32" s="131"/>
      <c r="FU32" s="131"/>
      <c r="FV32" s="131"/>
      <c r="FW32" s="131"/>
      <c r="FX32" s="131"/>
      <c r="FY32" s="131"/>
      <c r="FZ32" s="131"/>
      <c r="GA32" s="131"/>
      <c r="GB32" s="131"/>
      <c r="GC32" s="131"/>
      <c r="GD32" s="131"/>
      <c r="GE32" s="131"/>
      <c r="GF32" s="131"/>
      <c r="GG32" s="131"/>
      <c r="GH32" s="131"/>
      <c r="GI32" s="131"/>
      <c r="GJ32" s="131"/>
      <c r="GK32" s="131"/>
      <c r="GL32" s="131"/>
      <c r="GM32" s="131"/>
      <c r="GN32" s="131"/>
      <c r="GO32" s="131"/>
      <c r="GP32" s="131"/>
      <c r="GQ32" s="131"/>
      <c r="GR32" s="131"/>
      <c r="GS32" s="131"/>
      <c r="GT32" s="131"/>
      <c r="GU32" s="131"/>
      <c r="GV32" s="131"/>
      <c r="GW32" s="131"/>
      <c r="GX32" s="131"/>
      <c r="GY32" s="131"/>
      <c r="GZ32" s="131"/>
      <c r="HA32" s="131"/>
      <c r="HB32" s="131"/>
      <c r="HC32" s="131"/>
      <c r="HD32" s="131"/>
      <c r="HE32" s="131"/>
      <c r="HF32" s="131"/>
      <c r="HG32" s="131"/>
      <c r="HH32" s="131"/>
      <c r="HI32" s="131"/>
      <c r="HJ32" s="131"/>
      <c r="HK32" s="131"/>
      <c r="HL32" s="131"/>
      <c r="HM32" s="131"/>
      <c r="HN32" s="131"/>
      <c r="HO32" s="131"/>
      <c r="HP32" s="131"/>
      <c r="HQ32" s="131"/>
      <c r="HR32" s="131"/>
      <c r="HS32" s="131"/>
      <c r="HT32" s="131"/>
      <c r="HU32" s="131"/>
      <c r="HV32" s="131"/>
      <c r="HW32" s="131"/>
      <c r="HX32" s="131"/>
      <c r="HY32" s="131"/>
      <c r="HZ32" s="131"/>
      <c r="IA32" s="131"/>
      <c r="IB32" s="131"/>
      <c r="IC32" s="131"/>
      <c r="ID32" s="131"/>
      <c r="IE32" s="131"/>
      <c r="IF32" s="131"/>
      <c r="IG32" s="131"/>
      <c r="IH32" s="131"/>
      <c r="II32" s="131"/>
      <c r="IJ32" s="131"/>
      <c r="IK32" s="131"/>
      <c r="IL32" s="131"/>
      <c r="IM32" s="131"/>
      <c r="IN32" s="131"/>
      <c r="IO32" s="131"/>
      <c r="IP32" s="131"/>
      <c r="IQ32" s="131"/>
      <c r="IR32" s="131"/>
      <c r="IS32" s="131"/>
      <c r="IT32" s="131"/>
      <c r="IU32" s="131"/>
      <c r="IV32" s="131"/>
      <c r="IW32" s="131"/>
      <c r="IX32" s="131"/>
      <c r="IY32" s="131"/>
      <c r="IZ32" s="131"/>
      <c r="JA32" s="131"/>
      <c r="JB32" s="131"/>
      <c r="JC32" s="131"/>
      <c r="JD32" s="131"/>
      <c r="JE32" s="131"/>
      <c r="JF32" s="131"/>
      <c r="JG32" s="131"/>
      <c r="JH32" s="131"/>
      <c r="JI32" s="131"/>
      <c r="JJ32" s="131"/>
      <c r="JK32" s="131"/>
      <c r="JL32" s="131"/>
      <c r="JM32" s="131"/>
      <c r="JN32" s="131"/>
      <c r="JO32" s="131"/>
      <c r="JP32" s="131"/>
      <c r="JQ32" s="131"/>
      <c r="JR32" s="131"/>
      <c r="JS32" s="131"/>
      <c r="JT32" s="131"/>
      <c r="JU32" s="131"/>
      <c r="JV32" s="131"/>
      <c r="JW32" s="131"/>
      <c r="JX32" s="131"/>
      <c r="JY32" s="131"/>
      <c r="JZ32" s="131"/>
      <c r="KA32" s="131"/>
      <c r="KB32" s="131"/>
      <c r="KC32" s="131"/>
      <c r="KD32" s="131"/>
      <c r="KE32" s="131"/>
      <c r="KF32" s="131"/>
      <c r="KG32" s="131"/>
      <c r="KH32" s="131"/>
      <c r="KI32" s="131"/>
      <c r="KJ32" s="131"/>
      <c r="KK32" s="131"/>
      <c r="KL32" s="131"/>
      <c r="KM32" s="131"/>
      <c r="KN32" s="131"/>
      <c r="KO32" s="131"/>
      <c r="KP32" s="131"/>
      <c r="KQ32" s="131"/>
      <c r="KR32" s="131"/>
      <c r="KS32" s="131"/>
      <c r="KT32" s="131"/>
      <c r="KU32" s="131"/>
      <c r="KV32" s="131"/>
      <c r="KW32" s="131"/>
      <c r="KX32" s="131"/>
      <c r="KY32" s="131"/>
      <c r="KZ32" s="131"/>
      <c r="LA32" s="131"/>
      <c r="LB32" s="131"/>
      <c r="LC32" s="131"/>
      <c r="LD32" s="131"/>
      <c r="LE32" s="131"/>
      <c r="LF32" s="131"/>
      <c r="LG32" s="131"/>
      <c r="LH32" s="131"/>
      <c r="LI32" s="131"/>
      <c r="LJ32" s="131"/>
      <c r="LK32" s="131"/>
      <c r="LL32" s="131"/>
      <c r="LM32" s="131"/>
      <c r="LN32" s="131"/>
      <c r="LO32" s="131"/>
      <c r="LP32" s="131"/>
      <c r="LQ32" s="131"/>
      <c r="LR32" s="131"/>
      <c r="LS32" s="131"/>
      <c r="LT32" s="131"/>
      <c r="LU32" s="131"/>
      <c r="LV32" s="131"/>
      <c r="LW32" s="131"/>
      <c r="LX32" s="131"/>
      <c r="LY32" s="131"/>
      <c r="LZ32" s="131"/>
      <c r="MA32" s="131"/>
      <c r="MB32" s="131"/>
      <c r="MC32" s="131"/>
      <c r="MD32" s="131"/>
      <c r="ME32" s="131"/>
      <c r="MF32" s="131"/>
      <c r="MG32" s="131"/>
      <c r="MH32" s="131"/>
      <c r="MI32" s="131"/>
      <c r="MJ32" s="131"/>
      <c r="MK32" s="131"/>
      <c r="ML32" s="131"/>
      <c r="MM32" s="131"/>
      <c r="MN32" s="131"/>
      <c r="MO32" s="131"/>
      <c r="MP32" s="131"/>
      <c r="MQ32" s="131"/>
      <c r="MR32" s="131"/>
      <c r="MS32" s="131"/>
      <c r="MT32" s="131"/>
      <c r="MU32" s="131"/>
      <c r="MV32" s="131"/>
      <c r="MW32" s="131"/>
      <c r="MX32" s="131"/>
      <c r="MY32" s="131"/>
      <c r="MZ32" s="131"/>
      <c r="NA32" s="131"/>
      <c r="NB32" s="131"/>
      <c r="NC32" s="131"/>
      <c r="ND32" s="131"/>
      <c r="NE32" s="131"/>
      <c r="NF32" s="131"/>
      <c r="NG32" s="131"/>
      <c r="NH32" s="131"/>
      <c r="NI32" s="131"/>
      <c r="NJ32" s="131"/>
      <c r="NK32" s="131"/>
      <c r="NL32" s="131"/>
      <c r="NM32" s="131"/>
      <c r="NN32" s="131"/>
      <c r="NO32" s="131"/>
      <c r="NP32" s="131"/>
      <c r="NQ32" s="131"/>
      <c r="NR32" s="131"/>
      <c r="NS32" s="131"/>
      <c r="NT32" s="131"/>
      <c r="NU32" s="131"/>
      <c r="NV32" s="131"/>
      <c r="NW32" s="131"/>
      <c r="NX32" s="131"/>
      <c r="NY32" s="131"/>
      <c r="NZ32" s="131"/>
      <c r="OA32" s="131"/>
      <c r="OB32" s="131"/>
      <c r="OC32" s="131"/>
      <c r="OD32" s="131"/>
      <c r="OE32" s="131"/>
      <c r="OF32" s="131"/>
      <c r="OG32" s="131"/>
      <c r="OH32" s="132"/>
    </row>
    <row r="33" spans="1:398" x14ac:dyDescent="0.35">
      <c r="A33" s="102"/>
      <c r="B33" s="168">
        <f t="shared" si="8"/>
        <v>5</v>
      </c>
      <c r="C33" s="171" t="s">
        <v>903</v>
      </c>
      <c r="D33" s="124" t="s">
        <v>904</v>
      </c>
      <c r="E33" s="124" t="s">
        <v>905</v>
      </c>
      <c r="F33" s="125" t="s">
        <v>906</v>
      </c>
      <c r="G33" s="125" t="s">
        <v>743</v>
      </c>
      <c r="H33" s="125"/>
      <c r="I33" s="129">
        <v>0</v>
      </c>
      <c r="J33" s="129">
        <v>0</v>
      </c>
      <c r="K33" s="129">
        <v>0</v>
      </c>
      <c r="L33" s="129">
        <v>0</v>
      </c>
      <c r="M33" s="129">
        <v>0</v>
      </c>
      <c r="N33" s="129">
        <v>0</v>
      </c>
      <c r="O33" s="130">
        <f t="shared" si="7"/>
        <v>0</v>
      </c>
      <c r="P33" s="129">
        <v>0</v>
      </c>
      <c r="Q33" s="129">
        <v>0</v>
      </c>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c r="CB33" s="131"/>
      <c r="CC33" s="131"/>
      <c r="CD33" s="131"/>
      <c r="CE33" s="131"/>
      <c r="CF33" s="131"/>
      <c r="CG33" s="131"/>
      <c r="CH33" s="131"/>
      <c r="CI33" s="131"/>
      <c r="CJ33" s="131"/>
      <c r="CK33" s="131"/>
      <c r="CL33" s="131"/>
      <c r="CM33" s="131"/>
      <c r="CN33" s="131"/>
      <c r="CO33" s="131"/>
      <c r="CP33" s="131"/>
      <c r="CQ33" s="131"/>
      <c r="CR33" s="131"/>
      <c r="CS33" s="131"/>
      <c r="CT33" s="131"/>
      <c r="CU33" s="131"/>
      <c r="CV33" s="131"/>
      <c r="CW33" s="131"/>
      <c r="CX33" s="131"/>
      <c r="CY33" s="131"/>
      <c r="CZ33" s="131"/>
      <c r="DA33" s="131"/>
      <c r="DB33" s="131"/>
      <c r="DC33" s="131"/>
      <c r="DD33" s="131"/>
      <c r="DE33" s="131"/>
      <c r="DF33" s="131"/>
      <c r="DG33" s="131"/>
      <c r="DH33" s="131"/>
      <c r="DI33" s="131"/>
      <c r="DJ33" s="131"/>
      <c r="DK33" s="131"/>
      <c r="DL33" s="131"/>
      <c r="DM33" s="131"/>
      <c r="DN33" s="131"/>
      <c r="DO33" s="131"/>
      <c r="DP33" s="131"/>
      <c r="DQ33" s="131"/>
      <c r="DR33" s="131"/>
      <c r="DS33" s="131"/>
      <c r="DT33" s="131"/>
      <c r="DU33" s="131"/>
      <c r="DV33" s="131"/>
      <c r="DW33" s="131"/>
      <c r="DX33" s="131"/>
      <c r="DY33" s="131"/>
      <c r="DZ33" s="131"/>
      <c r="EA33" s="131"/>
      <c r="EB33" s="131"/>
      <c r="EC33" s="131"/>
      <c r="ED33" s="131"/>
      <c r="EE33" s="131"/>
      <c r="EF33" s="131"/>
      <c r="EG33" s="131"/>
      <c r="EH33" s="131"/>
      <c r="EI33" s="131"/>
      <c r="EJ33" s="131"/>
      <c r="EK33" s="131"/>
      <c r="EL33" s="131"/>
      <c r="EM33" s="131"/>
      <c r="EN33" s="131"/>
      <c r="EO33" s="131"/>
      <c r="EP33" s="131"/>
      <c r="EQ33" s="131"/>
      <c r="ER33" s="131"/>
      <c r="ES33" s="131"/>
      <c r="ET33" s="131"/>
      <c r="EU33" s="131"/>
      <c r="EV33" s="131"/>
      <c r="EW33" s="131"/>
      <c r="EX33" s="131"/>
      <c r="EY33" s="131"/>
      <c r="EZ33" s="131"/>
      <c r="FA33" s="131"/>
      <c r="FB33" s="131"/>
      <c r="FC33" s="131"/>
      <c r="FD33" s="131"/>
      <c r="FE33" s="131"/>
      <c r="FF33" s="131"/>
      <c r="FG33" s="131"/>
      <c r="FH33" s="131"/>
      <c r="FI33" s="131"/>
      <c r="FJ33" s="131"/>
      <c r="FK33" s="131"/>
      <c r="FL33" s="131"/>
      <c r="FM33" s="131"/>
      <c r="FN33" s="131"/>
      <c r="FO33" s="131"/>
      <c r="FP33" s="131"/>
      <c r="FQ33" s="131"/>
      <c r="FR33" s="131"/>
      <c r="FS33" s="131"/>
      <c r="FT33" s="131"/>
      <c r="FU33" s="131"/>
      <c r="FV33" s="131"/>
      <c r="FW33" s="131"/>
      <c r="FX33" s="131"/>
      <c r="FY33" s="131"/>
      <c r="FZ33" s="131"/>
      <c r="GA33" s="131"/>
      <c r="GB33" s="131"/>
      <c r="GC33" s="131"/>
      <c r="GD33" s="131"/>
      <c r="GE33" s="131"/>
      <c r="GF33" s="131"/>
      <c r="GG33" s="131"/>
      <c r="GH33" s="131"/>
      <c r="GI33" s="131"/>
      <c r="GJ33" s="131"/>
      <c r="GK33" s="131"/>
      <c r="GL33" s="131"/>
      <c r="GM33" s="131"/>
      <c r="GN33" s="131"/>
      <c r="GO33" s="131"/>
      <c r="GP33" s="131"/>
      <c r="GQ33" s="131"/>
      <c r="GR33" s="131"/>
      <c r="GS33" s="131"/>
      <c r="GT33" s="131"/>
      <c r="GU33" s="131"/>
      <c r="GV33" s="131"/>
      <c r="GW33" s="131"/>
      <c r="GX33" s="131"/>
      <c r="GY33" s="131"/>
      <c r="GZ33" s="131"/>
      <c r="HA33" s="131"/>
      <c r="HB33" s="131"/>
      <c r="HC33" s="131"/>
      <c r="HD33" s="131"/>
      <c r="HE33" s="131"/>
      <c r="HF33" s="131"/>
      <c r="HG33" s="131"/>
      <c r="HH33" s="131"/>
      <c r="HI33" s="131"/>
      <c r="HJ33" s="131"/>
      <c r="HK33" s="131"/>
      <c r="HL33" s="131"/>
      <c r="HM33" s="131"/>
      <c r="HN33" s="131"/>
      <c r="HO33" s="131"/>
      <c r="HP33" s="131"/>
      <c r="HQ33" s="131"/>
      <c r="HR33" s="131"/>
      <c r="HS33" s="131"/>
      <c r="HT33" s="131"/>
      <c r="HU33" s="131"/>
      <c r="HV33" s="131"/>
      <c r="HW33" s="131"/>
      <c r="HX33" s="131"/>
      <c r="HY33" s="131"/>
      <c r="HZ33" s="131"/>
      <c r="IA33" s="131"/>
      <c r="IB33" s="131"/>
      <c r="IC33" s="131"/>
      <c r="ID33" s="131"/>
      <c r="IE33" s="131"/>
      <c r="IF33" s="131"/>
      <c r="IG33" s="131"/>
      <c r="IH33" s="131"/>
      <c r="II33" s="131"/>
      <c r="IJ33" s="131"/>
      <c r="IK33" s="131"/>
      <c r="IL33" s="131"/>
      <c r="IM33" s="131"/>
      <c r="IN33" s="131"/>
      <c r="IO33" s="131"/>
      <c r="IP33" s="131"/>
      <c r="IQ33" s="131"/>
      <c r="IR33" s="131"/>
      <c r="IS33" s="131"/>
      <c r="IT33" s="131"/>
      <c r="IU33" s="131"/>
      <c r="IV33" s="131"/>
      <c r="IW33" s="131"/>
      <c r="IX33" s="131"/>
      <c r="IY33" s="131"/>
      <c r="IZ33" s="131"/>
      <c r="JA33" s="131"/>
      <c r="JB33" s="131"/>
      <c r="JC33" s="131"/>
      <c r="JD33" s="131"/>
      <c r="JE33" s="131"/>
      <c r="JF33" s="131"/>
      <c r="JG33" s="131"/>
      <c r="JH33" s="131"/>
      <c r="JI33" s="131"/>
      <c r="JJ33" s="131"/>
      <c r="JK33" s="131"/>
      <c r="JL33" s="131"/>
      <c r="JM33" s="131"/>
      <c r="JN33" s="131"/>
      <c r="JO33" s="131"/>
      <c r="JP33" s="131"/>
      <c r="JQ33" s="131"/>
      <c r="JR33" s="131"/>
      <c r="JS33" s="131"/>
      <c r="JT33" s="131"/>
      <c r="JU33" s="131"/>
      <c r="JV33" s="131"/>
      <c r="JW33" s="131"/>
      <c r="JX33" s="131"/>
      <c r="JY33" s="131"/>
      <c r="JZ33" s="131"/>
      <c r="KA33" s="131"/>
      <c r="KB33" s="131"/>
      <c r="KC33" s="131"/>
      <c r="KD33" s="131"/>
      <c r="KE33" s="131"/>
      <c r="KF33" s="131"/>
      <c r="KG33" s="131"/>
      <c r="KH33" s="131"/>
      <c r="KI33" s="131"/>
      <c r="KJ33" s="131"/>
      <c r="KK33" s="131"/>
      <c r="KL33" s="131"/>
      <c r="KM33" s="131"/>
      <c r="KN33" s="131"/>
      <c r="KO33" s="131"/>
      <c r="KP33" s="131"/>
      <c r="KQ33" s="131"/>
      <c r="KR33" s="131"/>
      <c r="KS33" s="131"/>
      <c r="KT33" s="131"/>
      <c r="KU33" s="131"/>
      <c r="KV33" s="131"/>
      <c r="KW33" s="131"/>
      <c r="KX33" s="131"/>
      <c r="KY33" s="131"/>
      <c r="KZ33" s="131"/>
      <c r="LA33" s="131"/>
      <c r="LB33" s="131"/>
      <c r="LC33" s="131"/>
      <c r="LD33" s="131"/>
      <c r="LE33" s="131"/>
      <c r="LF33" s="131"/>
      <c r="LG33" s="131"/>
      <c r="LH33" s="131"/>
      <c r="LI33" s="131"/>
      <c r="LJ33" s="131"/>
      <c r="LK33" s="131"/>
      <c r="LL33" s="131"/>
      <c r="LM33" s="131"/>
      <c r="LN33" s="131"/>
      <c r="LO33" s="131"/>
      <c r="LP33" s="131"/>
      <c r="LQ33" s="131"/>
      <c r="LR33" s="131"/>
      <c r="LS33" s="131"/>
      <c r="LT33" s="131"/>
      <c r="LU33" s="131"/>
      <c r="LV33" s="131"/>
      <c r="LW33" s="131"/>
      <c r="LX33" s="131"/>
      <c r="LY33" s="131"/>
      <c r="LZ33" s="131"/>
      <c r="MA33" s="131"/>
      <c r="MB33" s="131"/>
      <c r="MC33" s="131"/>
      <c r="MD33" s="131"/>
      <c r="ME33" s="131"/>
      <c r="MF33" s="131"/>
      <c r="MG33" s="131"/>
      <c r="MH33" s="131"/>
      <c r="MI33" s="131"/>
      <c r="MJ33" s="131"/>
      <c r="MK33" s="131"/>
      <c r="ML33" s="131"/>
      <c r="MM33" s="131"/>
      <c r="MN33" s="131"/>
      <c r="MO33" s="131"/>
      <c r="MP33" s="131"/>
      <c r="MQ33" s="131"/>
      <c r="MR33" s="131"/>
      <c r="MS33" s="131"/>
      <c r="MT33" s="131"/>
      <c r="MU33" s="131"/>
      <c r="MV33" s="131"/>
      <c r="MW33" s="131"/>
      <c r="MX33" s="131"/>
      <c r="MY33" s="131"/>
      <c r="MZ33" s="131"/>
      <c r="NA33" s="131"/>
      <c r="NB33" s="131"/>
      <c r="NC33" s="131"/>
      <c r="ND33" s="131"/>
      <c r="NE33" s="131"/>
      <c r="NF33" s="131"/>
      <c r="NG33" s="131"/>
      <c r="NH33" s="131"/>
      <c r="NI33" s="131"/>
      <c r="NJ33" s="131"/>
      <c r="NK33" s="131"/>
      <c r="NL33" s="131"/>
      <c r="NM33" s="131"/>
      <c r="NN33" s="131"/>
      <c r="NO33" s="131"/>
      <c r="NP33" s="131"/>
      <c r="NQ33" s="131"/>
      <c r="NR33" s="131"/>
      <c r="NS33" s="131"/>
      <c r="NT33" s="131"/>
      <c r="NU33" s="131"/>
      <c r="NV33" s="131"/>
      <c r="NW33" s="131"/>
      <c r="NX33" s="131"/>
      <c r="NY33" s="131"/>
      <c r="NZ33" s="131"/>
      <c r="OA33" s="131"/>
      <c r="OB33" s="131"/>
      <c r="OC33" s="131"/>
      <c r="OD33" s="131"/>
      <c r="OE33" s="131"/>
      <c r="OF33" s="131"/>
      <c r="OG33" s="131"/>
      <c r="OH33" s="132"/>
    </row>
    <row r="34" spans="1:398" x14ac:dyDescent="0.35">
      <c r="A34" s="102"/>
      <c r="B34" s="168">
        <f t="shared" si="8"/>
        <v>6</v>
      </c>
      <c r="C34" s="171" t="s">
        <v>903</v>
      </c>
      <c r="D34" s="124" t="s">
        <v>904</v>
      </c>
      <c r="E34" s="124" t="s">
        <v>905</v>
      </c>
      <c r="F34" s="125" t="s">
        <v>906</v>
      </c>
      <c r="G34" s="125" t="s">
        <v>202</v>
      </c>
      <c r="H34" s="125"/>
      <c r="I34" s="129">
        <v>0</v>
      </c>
      <c r="J34" s="129">
        <v>0</v>
      </c>
      <c r="K34" s="129">
        <v>0</v>
      </c>
      <c r="L34" s="129">
        <v>0</v>
      </c>
      <c r="M34" s="129">
        <v>0</v>
      </c>
      <c r="N34" s="129">
        <v>0</v>
      </c>
      <c r="O34" s="130">
        <f t="shared" si="7"/>
        <v>0</v>
      </c>
      <c r="P34" s="129">
        <v>0</v>
      </c>
      <c r="Q34" s="129">
        <v>0</v>
      </c>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c r="CB34" s="131"/>
      <c r="CC34" s="131"/>
      <c r="CD34" s="131"/>
      <c r="CE34" s="131"/>
      <c r="CF34" s="131"/>
      <c r="CG34" s="131"/>
      <c r="CH34" s="131"/>
      <c r="CI34" s="131"/>
      <c r="CJ34" s="131"/>
      <c r="CK34" s="131"/>
      <c r="CL34" s="131"/>
      <c r="CM34" s="131"/>
      <c r="CN34" s="131"/>
      <c r="CO34" s="131"/>
      <c r="CP34" s="131"/>
      <c r="CQ34" s="131"/>
      <c r="CR34" s="131"/>
      <c r="CS34" s="131"/>
      <c r="CT34" s="131"/>
      <c r="CU34" s="131"/>
      <c r="CV34" s="131"/>
      <c r="CW34" s="131"/>
      <c r="CX34" s="131"/>
      <c r="CY34" s="131"/>
      <c r="CZ34" s="131"/>
      <c r="DA34" s="131"/>
      <c r="DB34" s="131"/>
      <c r="DC34" s="131"/>
      <c r="DD34" s="131"/>
      <c r="DE34" s="131"/>
      <c r="DF34" s="131"/>
      <c r="DG34" s="131"/>
      <c r="DH34" s="131"/>
      <c r="DI34" s="131"/>
      <c r="DJ34" s="131"/>
      <c r="DK34" s="131"/>
      <c r="DL34" s="131"/>
      <c r="DM34" s="131"/>
      <c r="DN34" s="131"/>
      <c r="DO34" s="131"/>
      <c r="DP34" s="131"/>
      <c r="DQ34" s="131"/>
      <c r="DR34" s="131"/>
      <c r="DS34" s="131"/>
      <c r="DT34" s="131"/>
      <c r="DU34" s="131"/>
      <c r="DV34" s="131"/>
      <c r="DW34" s="131"/>
      <c r="DX34" s="131"/>
      <c r="DY34" s="131"/>
      <c r="DZ34" s="131"/>
      <c r="EA34" s="131"/>
      <c r="EB34" s="131"/>
      <c r="EC34" s="131"/>
      <c r="ED34" s="131"/>
      <c r="EE34" s="131"/>
      <c r="EF34" s="131"/>
      <c r="EG34" s="131"/>
      <c r="EH34" s="131"/>
      <c r="EI34" s="131"/>
      <c r="EJ34" s="131"/>
      <c r="EK34" s="131"/>
      <c r="EL34" s="131"/>
      <c r="EM34" s="131"/>
      <c r="EN34" s="131"/>
      <c r="EO34" s="131"/>
      <c r="EP34" s="131"/>
      <c r="EQ34" s="131"/>
      <c r="ER34" s="131"/>
      <c r="ES34" s="131"/>
      <c r="ET34" s="131"/>
      <c r="EU34" s="131"/>
      <c r="EV34" s="131"/>
      <c r="EW34" s="131"/>
      <c r="EX34" s="131"/>
      <c r="EY34" s="131"/>
      <c r="EZ34" s="131"/>
      <c r="FA34" s="131"/>
      <c r="FB34" s="131"/>
      <c r="FC34" s="131"/>
      <c r="FD34" s="131"/>
      <c r="FE34" s="131"/>
      <c r="FF34" s="131"/>
      <c r="FG34" s="131"/>
      <c r="FH34" s="131"/>
      <c r="FI34" s="131"/>
      <c r="FJ34" s="131"/>
      <c r="FK34" s="131"/>
      <c r="FL34" s="131"/>
      <c r="FM34" s="131"/>
      <c r="FN34" s="131"/>
      <c r="FO34" s="131"/>
      <c r="FP34" s="131"/>
      <c r="FQ34" s="131"/>
      <c r="FR34" s="131"/>
      <c r="FS34" s="131"/>
      <c r="FT34" s="131"/>
      <c r="FU34" s="131"/>
      <c r="FV34" s="131"/>
      <c r="FW34" s="131"/>
      <c r="FX34" s="131"/>
      <c r="FY34" s="131"/>
      <c r="FZ34" s="131"/>
      <c r="GA34" s="131"/>
      <c r="GB34" s="131"/>
      <c r="GC34" s="131"/>
      <c r="GD34" s="131"/>
      <c r="GE34" s="131"/>
      <c r="GF34" s="131"/>
      <c r="GG34" s="131"/>
      <c r="GH34" s="131"/>
      <c r="GI34" s="131"/>
      <c r="GJ34" s="131"/>
      <c r="GK34" s="131"/>
      <c r="GL34" s="131"/>
      <c r="GM34" s="131"/>
      <c r="GN34" s="131"/>
      <c r="GO34" s="131"/>
      <c r="GP34" s="131"/>
      <c r="GQ34" s="131"/>
      <c r="GR34" s="131"/>
      <c r="GS34" s="131"/>
      <c r="GT34" s="131"/>
      <c r="GU34" s="131"/>
      <c r="GV34" s="131"/>
      <c r="GW34" s="131"/>
      <c r="GX34" s="131"/>
      <c r="GY34" s="131"/>
      <c r="GZ34" s="131"/>
      <c r="HA34" s="131"/>
      <c r="HB34" s="131"/>
      <c r="HC34" s="131"/>
      <c r="HD34" s="131"/>
      <c r="HE34" s="131"/>
      <c r="HF34" s="131"/>
      <c r="HG34" s="131"/>
      <c r="HH34" s="131"/>
      <c r="HI34" s="131"/>
      <c r="HJ34" s="131"/>
      <c r="HK34" s="131"/>
      <c r="HL34" s="131"/>
      <c r="HM34" s="131"/>
      <c r="HN34" s="131"/>
      <c r="HO34" s="131"/>
      <c r="HP34" s="131"/>
      <c r="HQ34" s="131"/>
      <c r="HR34" s="131"/>
      <c r="HS34" s="131"/>
      <c r="HT34" s="131"/>
      <c r="HU34" s="131"/>
      <c r="HV34" s="131"/>
      <c r="HW34" s="131"/>
      <c r="HX34" s="131"/>
      <c r="HY34" s="131"/>
      <c r="HZ34" s="131"/>
      <c r="IA34" s="131"/>
      <c r="IB34" s="131"/>
      <c r="IC34" s="131"/>
      <c r="ID34" s="131"/>
      <c r="IE34" s="131"/>
      <c r="IF34" s="131"/>
      <c r="IG34" s="131"/>
      <c r="IH34" s="131"/>
      <c r="II34" s="131"/>
      <c r="IJ34" s="131"/>
      <c r="IK34" s="131"/>
      <c r="IL34" s="131"/>
      <c r="IM34" s="131"/>
      <c r="IN34" s="131"/>
      <c r="IO34" s="131"/>
      <c r="IP34" s="131"/>
      <c r="IQ34" s="131"/>
      <c r="IR34" s="131"/>
      <c r="IS34" s="131"/>
      <c r="IT34" s="131"/>
      <c r="IU34" s="131"/>
      <c r="IV34" s="131"/>
      <c r="IW34" s="131"/>
      <c r="IX34" s="131"/>
      <c r="IY34" s="131"/>
      <c r="IZ34" s="131"/>
      <c r="JA34" s="131"/>
      <c r="JB34" s="131"/>
      <c r="JC34" s="131"/>
      <c r="JD34" s="131"/>
      <c r="JE34" s="131"/>
      <c r="JF34" s="131"/>
      <c r="JG34" s="131"/>
      <c r="JH34" s="131"/>
      <c r="JI34" s="131"/>
      <c r="JJ34" s="131"/>
      <c r="JK34" s="131"/>
      <c r="JL34" s="131"/>
      <c r="JM34" s="131"/>
      <c r="JN34" s="131"/>
      <c r="JO34" s="131"/>
      <c r="JP34" s="131"/>
      <c r="JQ34" s="131"/>
      <c r="JR34" s="131"/>
      <c r="JS34" s="131"/>
      <c r="JT34" s="131"/>
      <c r="JU34" s="131"/>
      <c r="JV34" s="131"/>
      <c r="JW34" s="131"/>
      <c r="JX34" s="131"/>
      <c r="JY34" s="131"/>
      <c r="JZ34" s="131"/>
      <c r="KA34" s="131"/>
      <c r="KB34" s="131"/>
      <c r="KC34" s="131"/>
      <c r="KD34" s="131"/>
      <c r="KE34" s="131"/>
      <c r="KF34" s="131"/>
      <c r="KG34" s="131"/>
      <c r="KH34" s="131"/>
      <c r="KI34" s="131"/>
      <c r="KJ34" s="131"/>
      <c r="KK34" s="131"/>
      <c r="KL34" s="131"/>
      <c r="KM34" s="131"/>
      <c r="KN34" s="131"/>
      <c r="KO34" s="131"/>
      <c r="KP34" s="131"/>
      <c r="KQ34" s="131"/>
      <c r="KR34" s="131"/>
      <c r="KS34" s="131"/>
      <c r="KT34" s="131"/>
      <c r="KU34" s="131"/>
      <c r="KV34" s="131"/>
      <c r="KW34" s="131"/>
      <c r="KX34" s="131"/>
      <c r="KY34" s="131"/>
      <c r="KZ34" s="131"/>
      <c r="LA34" s="131"/>
      <c r="LB34" s="131"/>
      <c r="LC34" s="131"/>
      <c r="LD34" s="131"/>
      <c r="LE34" s="131"/>
      <c r="LF34" s="131"/>
      <c r="LG34" s="131"/>
      <c r="LH34" s="131"/>
      <c r="LI34" s="131"/>
      <c r="LJ34" s="131"/>
      <c r="LK34" s="131"/>
      <c r="LL34" s="131"/>
      <c r="LM34" s="131"/>
      <c r="LN34" s="131"/>
      <c r="LO34" s="131"/>
      <c r="LP34" s="131"/>
      <c r="LQ34" s="131"/>
      <c r="LR34" s="131"/>
      <c r="LS34" s="131"/>
      <c r="LT34" s="131"/>
      <c r="LU34" s="131"/>
      <c r="LV34" s="131"/>
      <c r="LW34" s="131"/>
      <c r="LX34" s="131"/>
      <c r="LY34" s="131"/>
      <c r="LZ34" s="131"/>
      <c r="MA34" s="131"/>
      <c r="MB34" s="131"/>
      <c r="MC34" s="131"/>
      <c r="MD34" s="131"/>
      <c r="ME34" s="131"/>
      <c r="MF34" s="131"/>
      <c r="MG34" s="131"/>
      <c r="MH34" s="131"/>
      <c r="MI34" s="131"/>
      <c r="MJ34" s="131"/>
      <c r="MK34" s="131"/>
      <c r="ML34" s="131"/>
      <c r="MM34" s="131"/>
      <c r="MN34" s="131"/>
      <c r="MO34" s="131"/>
      <c r="MP34" s="131"/>
      <c r="MQ34" s="131"/>
      <c r="MR34" s="131"/>
      <c r="MS34" s="131"/>
      <c r="MT34" s="131"/>
      <c r="MU34" s="131"/>
      <c r="MV34" s="131"/>
      <c r="MW34" s="131"/>
      <c r="MX34" s="131"/>
      <c r="MY34" s="131"/>
      <c r="MZ34" s="131"/>
      <c r="NA34" s="131"/>
      <c r="NB34" s="131"/>
      <c r="NC34" s="131"/>
      <c r="ND34" s="131"/>
      <c r="NE34" s="131"/>
      <c r="NF34" s="131"/>
      <c r="NG34" s="131"/>
      <c r="NH34" s="131"/>
      <c r="NI34" s="131"/>
      <c r="NJ34" s="131"/>
      <c r="NK34" s="131"/>
      <c r="NL34" s="131"/>
      <c r="NM34" s="131"/>
      <c r="NN34" s="131"/>
      <c r="NO34" s="131"/>
      <c r="NP34" s="131"/>
      <c r="NQ34" s="131"/>
      <c r="NR34" s="131"/>
      <c r="NS34" s="131"/>
      <c r="NT34" s="131"/>
      <c r="NU34" s="131"/>
      <c r="NV34" s="131"/>
      <c r="NW34" s="131"/>
      <c r="NX34" s="131"/>
      <c r="NY34" s="131"/>
      <c r="NZ34" s="131"/>
      <c r="OA34" s="131"/>
      <c r="OB34" s="131"/>
      <c r="OC34" s="131"/>
      <c r="OD34" s="131"/>
      <c r="OE34" s="131"/>
      <c r="OF34" s="131"/>
      <c r="OG34" s="131"/>
      <c r="OH34" s="132"/>
    </row>
    <row r="35" spans="1:398" x14ac:dyDescent="0.35">
      <c r="A35" s="102"/>
      <c r="B35" s="168">
        <f t="shared" si="8"/>
        <v>7</v>
      </c>
      <c r="C35" s="171" t="s">
        <v>903</v>
      </c>
      <c r="D35" s="124" t="s">
        <v>904</v>
      </c>
      <c r="E35" s="124" t="s">
        <v>905</v>
      </c>
      <c r="F35" s="125" t="s">
        <v>906</v>
      </c>
      <c r="G35" s="125" t="s">
        <v>738</v>
      </c>
      <c r="H35" s="125"/>
      <c r="I35" s="130">
        <f t="shared" ref="I35:Q35" si="9">SUM(I29:I34)</f>
        <v>0</v>
      </c>
      <c r="J35" s="130">
        <f t="shared" si="9"/>
        <v>0</v>
      </c>
      <c r="K35" s="130">
        <f t="shared" si="9"/>
        <v>0</v>
      </c>
      <c r="L35" s="130">
        <f t="shared" si="9"/>
        <v>0</v>
      </c>
      <c r="M35" s="130">
        <f t="shared" si="9"/>
        <v>0</v>
      </c>
      <c r="N35" s="130">
        <f t="shared" si="9"/>
        <v>0</v>
      </c>
      <c r="O35" s="130">
        <f t="shared" si="9"/>
        <v>0</v>
      </c>
      <c r="P35" s="130">
        <f t="shared" si="9"/>
        <v>0</v>
      </c>
      <c r="Q35" s="130">
        <f t="shared" si="9"/>
        <v>0</v>
      </c>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c r="CC35" s="131"/>
      <c r="CD35" s="131"/>
      <c r="CE35" s="131"/>
      <c r="CF35" s="131"/>
      <c r="CG35" s="131"/>
      <c r="CH35" s="131"/>
      <c r="CI35" s="131"/>
      <c r="CJ35" s="131"/>
      <c r="CK35" s="131"/>
      <c r="CL35" s="131"/>
      <c r="CM35" s="131"/>
      <c r="CN35" s="131"/>
      <c r="CO35" s="131"/>
      <c r="CP35" s="131"/>
      <c r="CQ35" s="131"/>
      <c r="CR35" s="131"/>
      <c r="CS35" s="131"/>
      <c r="CT35" s="131"/>
      <c r="CU35" s="131"/>
      <c r="CV35" s="131"/>
      <c r="CW35" s="131"/>
      <c r="CX35" s="131"/>
      <c r="CY35" s="131"/>
      <c r="CZ35" s="131"/>
      <c r="DA35" s="131"/>
      <c r="DB35" s="131"/>
      <c r="DC35" s="131"/>
      <c r="DD35" s="131"/>
      <c r="DE35" s="131"/>
      <c r="DF35" s="131"/>
      <c r="DG35" s="131"/>
      <c r="DH35" s="131"/>
      <c r="DI35" s="131"/>
      <c r="DJ35" s="131"/>
      <c r="DK35" s="131"/>
      <c r="DL35" s="131"/>
      <c r="DM35" s="131"/>
      <c r="DN35" s="131"/>
      <c r="DO35" s="131"/>
      <c r="DP35" s="131"/>
      <c r="DQ35" s="131"/>
      <c r="DR35" s="131"/>
      <c r="DS35" s="131"/>
      <c r="DT35" s="131"/>
      <c r="DU35" s="131"/>
      <c r="DV35" s="131"/>
      <c r="DW35" s="131"/>
      <c r="DX35" s="131"/>
      <c r="DY35" s="131"/>
      <c r="DZ35" s="131"/>
      <c r="EA35" s="131"/>
      <c r="EB35" s="131"/>
      <c r="EC35" s="131"/>
      <c r="ED35" s="131"/>
      <c r="EE35" s="131"/>
      <c r="EF35" s="131"/>
      <c r="EG35" s="131"/>
      <c r="EH35" s="131"/>
      <c r="EI35" s="131"/>
      <c r="EJ35" s="131"/>
      <c r="EK35" s="131"/>
      <c r="EL35" s="131"/>
      <c r="EM35" s="131"/>
      <c r="EN35" s="131"/>
      <c r="EO35" s="131"/>
      <c r="EP35" s="131"/>
      <c r="EQ35" s="131"/>
      <c r="ER35" s="131"/>
      <c r="ES35" s="131"/>
      <c r="ET35" s="131"/>
      <c r="EU35" s="131"/>
      <c r="EV35" s="131"/>
      <c r="EW35" s="131"/>
      <c r="EX35" s="131"/>
      <c r="EY35" s="131"/>
      <c r="EZ35" s="131"/>
      <c r="FA35" s="131"/>
      <c r="FB35" s="131"/>
      <c r="FC35" s="131"/>
      <c r="FD35" s="131"/>
      <c r="FE35" s="131"/>
      <c r="FF35" s="131"/>
      <c r="FG35" s="131"/>
      <c r="FH35" s="131"/>
      <c r="FI35" s="131"/>
      <c r="FJ35" s="131"/>
      <c r="FK35" s="131"/>
      <c r="FL35" s="131"/>
      <c r="FM35" s="131"/>
      <c r="FN35" s="131"/>
      <c r="FO35" s="131"/>
      <c r="FP35" s="131"/>
      <c r="FQ35" s="131"/>
      <c r="FR35" s="131"/>
      <c r="FS35" s="131"/>
      <c r="FT35" s="131"/>
      <c r="FU35" s="131"/>
      <c r="FV35" s="131"/>
      <c r="FW35" s="131"/>
      <c r="FX35" s="131"/>
      <c r="FY35" s="131"/>
      <c r="FZ35" s="131"/>
      <c r="GA35" s="131"/>
      <c r="GB35" s="131"/>
      <c r="GC35" s="131"/>
      <c r="GD35" s="131"/>
      <c r="GE35" s="131"/>
      <c r="GF35" s="131"/>
      <c r="GG35" s="131"/>
      <c r="GH35" s="131"/>
      <c r="GI35" s="131"/>
      <c r="GJ35" s="131"/>
      <c r="GK35" s="131"/>
      <c r="GL35" s="131"/>
      <c r="GM35" s="131"/>
      <c r="GN35" s="131"/>
      <c r="GO35" s="131"/>
      <c r="GP35" s="131"/>
      <c r="GQ35" s="131"/>
      <c r="GR35" s="131"/>
      <c r="GS35" s="131"/>
      <c r="GT35" s="131"/>
      <c r="GU35" s="131"/>
      <c r="GV35" s="131"/>
      <c r="GW35" s="131"/>
      <c r="GX35" s="131"/>
      <c r="GY35" s="131"/>
      <c r="GZ35" s="131"/>
      <c r="HA35" s="131"/>
      <c r="HB35" s="131"/>
      <c r="HC35" s="131"/>
      <c r="HD35" s="131"/>
      <c r="HE35" s="131"/>
      <c r="HF35" s="131"/>
      <c r="HG35" s="131"/>
      <c r="HH35" s="131"/>
      <c r="HI35" s="131"/>
      <c r="HJ35" s="131"/>
      <c r="HK35" s="131"/>
      <c r="HL35" s="131"/>
      <c r="HM35" s="131"/>
      <c r="HN35" s="131"/>
      <c r="HO35" s="131"/>
      <c r="HP35" s="131"/>
      <c r="HQ35" s="131"/>
      <c r="HR35" s="131"/>
      <c r="HS35" s="131"/>
      <c r="HT35" s="131"/>
      <c r="HU35" s="131"/>
      <c r="HV35" s="131"/>
      <c r="HW35" s="131"/>
      <c r="HX35" s="131"/>
      <c r="HY35" s="131"/>
      <c r="HZ35" s="131"/>
      <c r="IA35" s="131"/>
      <c r="IB35" s="131"/>
      <c r="IC35" s="131"/>
      <c r="ID35" s="131"/>
      <c r="IE35" s="131"/>
      <c r="IF35" s="131"/>
      <c r="IG35" s="131"/>
      <c r="IH35" s="131"/>
      <c r="II35" s="131"/>
      <c r="IJ35" s="131"/>
      <c r="IK35" s="131"/>
      <c r="IL35" s="131"/>
      <c r="IM35" s="131"/>
      <c r="IN35" s="131"/>
      <c r="IO35" s="131"/>
      <c r="IP35" s="131"/>
      <c r="IQ35" s="131"/>
      <c r="IR35" s="131"/>
      <c r="IS35" s="131"/>
      <c r="IT35" s="131"/>
      <c r="IU35" s="131"/>
      <c r="IV35" s="131"/>
      <c r="IW35" s="131"/>
      <c r="IX35" s="131"/>
      <c r="IY35" s="131"/>
      <c r="IZ35" s="131"/>
      <c r="JA35" s="131"/>
      <c r="JB35" s="131"/>
      <c r="JC35" s="131"/>
      <c r="JD35" s="131"/>
      <c r="JE35" s="131"/>
      <c r="JF35" s="131"/>
      <c r="JG35" s="131"/>
      <c r="JH35" s="131"/>
      <c r="JI35" s="131"/>
      <c r="JJ35" s="131"/>
      <c r="JK35" s="131"/>
      <c r="JL35" s="131"/>
      <c r="JM35" s="131"/>
      <c r="JN35" s="131"/>
      <c r="JO35" s="131"/>
      <c r="JP35" s="131"/>
      <c r="JQ35" s="131"/>
      <c r="JR35" s="131"/>
      <c r="JS35" s="131"/>
      <c r="JT35" s="131"/>
      <c r="JU35" s="131"/>
      <c r="JV35" s="131"/>
      <c r="JW35" s="131"/>
      <c r="JX35" s="131"/>
      <c r="JY35" s="131"/>
      <c r="JZ35" s="131"/>
      <c r="KA35" s="131"/>
      <c r="KB35" s="131"/>
      <c r="KC35" s="131"/>
      <c r="KD35" s="131"/>
      <c r="KE35" s="131"/>
      <c r="KF35" s="131"/>
      <c r="KG35" s="131"/>
      <c r="KH35" s="131"/>
      <c r="KI35" s="131"/>
      <c r="KJ35" s="131"/>
      <c r="KK35" s="131"/>
      <c r="KL35" s="131"/>
      <c r="KM35" s="131"/>
      <c r="KN35" s="131"/>
      <c r="KO35" s="131"/>
      <c r="KP35" s="131"/>
      <c r="KQ35" s="131"/>
      <c r="KR35" s="131"/>
      <c r="KS35" s="131"/>
      <c r="KT35" s="131"/>
      <c r="KU35" s="131"/>
      <c r="KV35" s="131"/>
      <c r="KW35" s="131"/>
      <c r="KX35" s="131"/>
      <c r="KY35" s="131"/>
      <c r="KZ35" s="131"/>
      <c r="LA35" s="131"/>
      <c r="LB35" s="131"/>
      <c r="LC35" s="131"/>
      <c r="LD35" s="131"/>
      <c r="LE35" s="131"/>
      <c r="LF35" s="131"/>
      <c r="LG35" s="131"/>
      <c r="LH35" s="131"/>
      <c r="LI35" s="131"/>
      <c r="LJ35" s="131"/>
      <c r="LK35" s="131"/>
      <c r="LL35" s="131"/>
      <c r="LM35" s="131"/>
      <c r="LN35" s="131"/>
      <c r="LO35" s="131"/>
      <c r="LP35" s="131"/>
      <c r="LQ35" s="131"/>
      <c r="LR35" s="131"/>
      <c r="LS35" s="131"/>
      <c r="LT35" s="131"/>
      <c r="LU35" s="131"/>
      <c r="LV35" s="131"/>
      <c r="LW35" s="131"/>
      <c r="LX35" s="131"/>
      <c r="LY35" s="131"/>
      <c r="LZ35" s="131"/>
      <c r="MA35" s="131"/>
      <c r="MB35" s="131"/>
      <c r="MC35" s="131"/>
      <c r="MD35" s="131"/>
      <c r="ME35" s="131"/>
      <c r="MF35" s="131"/>
      <c r="MG35" s="131"/>
      <c r="MH35" s="131"/>
      <c r="MI35" s="131"/>
      <c r="MJ35" s="131"/>
      <c r="MK35" s="131"/>
      <c r="ML35" s="131"/>
      <c r="MM35" s="131"/>
      <c r="MN35" s="131"/>
      <c r="MO35" s="131"/>
      <c r="MP35" s="131"/>
      <c r="MQ35" s="131"/>
      <c r="MR35" s="131"/>
      <c r="MS35" s="131"/>
      <c r="MT35" s="131"/>
      <c r="MU35" s="131"/>
      <c r="MV35" s="131"/>
      <c r="MW35" s="131"/>
      <c r="MX35" s="131"/>
      <c r="MY35" s="131"/>
      <c r="MZ35" s="131"/>
      <c r="NA35" s="131"/>
      <c r="NB35" s="131"/>
      <c r="NC35" s="131"/>
      <c r="ND35" s="131"/>
      <c r="NE35" s="131"/>
      <c r="NF35" s="131"/>
      <c r="NG35" s="131"/>
      <c r="NH35" s="131"/>
      <c r="NI35" s="131"/>
      <c r="NJ35" s="131"/>
      <c r="NK35" s="131"/>
      <c r="NL35" s="131"/>
      <c r="NM35" s="131"/>
      <c r="NN35" s="131"/>
      <c r="NO35" s="131"/>
      <c r="NP35" s="131"/>
      <c r="NQ35" s="131"/>
      <c r="NR35" s="131"/>
      <c r="NS35" s="131"/>
      <c r="NT35" s="131"/>
      <c r="NU35" s="131"/>
      <c r="NV35" s="131"/>
      <c r="NW35" s="131"/>
      <c r="NX35" s="131"/>
      <c r="NY35" s="131"/>
      <c r="NZ35" s="131"/>
      <c r="OA35" s="131"/>
      <c r="OB35" s="131"/>
      <c r="OC35" s="131"/>
      <c r="OD35" s="131"/>
      <c r="OE35" s="131"/>
      <c r="OF35" s="131"/>
      <c r="OG35" s="131"/>
      <c r="OH35" s="132"/>
    </row>
    <row r="36" spans="1:398" x14ac:dyDescent="0.35">
      <c r="A36" s="102"/>
      <c r="B36" s="168">
        <f t="shared" si="8"/>
        <v>8</v>
      </c>
      <c r="C36" s="171" t="s">
        <v>903</v>
      </c>
      <c r="D36" s="124" t="s">
        <v>904</v>
      </c>
      <c r="E36" s="124" t="s">
        <v>905</v>
      </c>
      <c r="F36" s="125" t="s">
        <v>907</v>
      </c>
      <c r="G36" s="125" t="s">
        <v>739</v>
      </c>
      <c r="H36" s="125"/>
      <c r="I36" s="129">
        <v>0</v>
      </c>
      <c r="J36" s="129">
        <v>0</v>
      </c>
      <c r="K36" s="129">
        <v>0</v>
      </c>
      <c r="L36" s="129">
        <v>0</v>
      </c>
      <c r="M36" s="129">
        <v>0</v>
      </c>
      <c r="N36" s="129">
        <v>0</v>
      </c>
      <c r="O36" s="130">
        <f t="shared" ref="O36:O41" si="10">SUM(P36,R36)</f>
        <v>0</v>
      </c>
      <c r="P36" s="129">
        <v>0</v>
      </c>
      <c r="Q36" s="129">
        <v>0</v>
      </c>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c r="BM36" s="131"/>
      <c r="BN36" s="131"/>
      <c r="BO36" s="131"/>
      <c r="BP36" s="131"/>
      <c r="BQ36" s="131"/>
      <c r="BR36" s="131"/>
      <c r="BS36" s="131"/>
      <c r="BT36" s="131"/>
      <c r="BU36" s="131"/>
      <c r="BV36" s="131"/>
      <c r="BW36" s="131"/>
      <c r="BX36" s="131"/>
      <c r="BY36" s="131"/>
      <c r="BZ36" s="131"/>
      <c r="CA36" s="131"/>
      <c r="CB36" s="131"/>
      <c r="CC36" s="131"/>
      <c r="CD36" s="131"/>
      <c r="CE36" s="131"/>
      <c r="CF36" s="131"/>
      <c r="CG36" s="131"/>
      <c r="CH36" s="131"/>
      <c r="CI36" s="131"/>
      <c r="CJ36" s="131"/>
      <c r="CK36" s="131"/>
      <c r="CL36" s="131"/>
      <c r="CM36" s="131"/>
      <c r="CN36" s="131"/>
      <c r="CO36" s="131"/>
      <c r="CP36" s="131"/>
      <c r="CQ36" s="131"/>
      <c r="CR36" s="131"/>
      <c r="CS36" s="131"/>
      <c r="CT36" s="131"/>
      <c r="CU36" s="131"/>
      <c r="CV36" s="131"/>
      <c r="CW36" s="131"/>
      <c r="CX36" s="131"/>
      <c r="CY36" s="131"/>
      <c r="CZ36" s="131"/>
      <c r="DA36" s="131"/>
      <c r="DB36" s="131"/>
      <c r="DC36" s="131"/>
      <c r="DD36" s="131"/>
      <c r="DE36" s="131"/>
      <c r="DF36" s="131"/>
      <c r="DG36" s="131"/>
      <c r="DH36" s="131"/>
      <c r="DI36" s="131"/>
      <c r="DJ36" s="131"/>
      <c r="DK36" s="131"/>
      <c r="DL36" s="131"/>
      <c r="DM36" s="131"/>
      <c r="DN36" s="131"/>
      <c r="DO36" s="131"/>
      <c r="DP36" s="131"/>
      <c r="DQ36" s="131"/>
      <c r="DR36" s="131"/>
      <c r="DS36" s="131"/>
      <c r="DT36" s="131"/>
      <c r="DU36" s="131"/>
      <c r="DV36" s="131"/>
      <c r="DW36" s="131"/>
      <c r="DX36" s="131"/>
      <c r="DY36" s="131"/>
      <c r="DZ36" s="131"/>
      <c r="EA36" s="131"/>
      <c r="EB36" s="131"/>
      <c r="EC36" s="131"/>
      <c r="ED36" s="131"/>
      <c r="EE36" s="131"/>
      <c r="EF36" s="131"/>
      <c r="EG36" s="131"/>
      <c r="EH36" s="131"/>
      <c r="EI36" s="131"/>
      <c r="EJ36" s="131"/>
      <c r="EK36" s="131"/>
      <c r="EL36" s="131"/>
      <c r="EM36" s="131"/>
      <c r="EN36" s="131"/>
      <c r="EO36" s="131"/>
      <c r="EP36" s="131"/>
      <c r="EQ36" s="131"/>
      <c r="ER36" s="131"/>
      <c r="ES36" s="131"/>
      <c r="ET36" s="131"/>
      <c r="EU36" s="131"/>
      <c r="EV36" s="131"/>
      <c r="EW36" s="131"/>
      <c r="EX36" s="131"/>
      <c r="EY36" s="131"/>
      <c r="EZ36" s="131"/>
      <c r="FA36" s="131"/>
      <c r="FB36" s="131"/>
      <c r="FC36" s="131"/>
      <c r="FD36" s="131"/>
      <c r="FE36" s="131"/>
      <c r="FF36" s="131"/>
      <c r="FG36" s="131"/>
      <c r="FH36" s="131"/>
      <c r="FI36" s="131"/>
      <c r="FJ36" s="131"/>
      <c r="FK36" s="131"/>
      <c r="FL36" s="131"/>
      <c r="FM36" s="131"/>
      <c r="FN36" s="131"/>
      <c r="FO36" s="131"/>
      <c r="FP36" s="131"/>
      <c r="FQ36" s="131"/>
      <c r="FR36" s="131"/>
      <c r="FS36" s="131"/>
      <c r="FT36" s="131"/>
      <c r="FU36" s="131"/>
      <c r="FV36" s="131"/>
      <c r="FW36" s="131"/>
      <c r="FX36" s="131"/>
      <c r="FY36" s="131"/>
      <c r="FZ36" s="131"/>
      <c r="GA36" s="131"/>
      <c r="GB36" s="131"/>
      <c r="GC36" s="131"/>
      <c r="GD36" s="131"/>
      <c r="GE36" s="131"/>
      <c r="GF36" s="131"/>
      <c r="GG36" s="131"/>
      <c r="GH36" s="131"/>
      <c r="GI36" s="131"/>
      <c r="GJ36" s="131"/>
      <c r="GK36" s="131"/>
      <c r="GL36" s="131"/>
      <c r="GM36" s="131"/>
      <c r="GN36" s="131"/>
      <c r="GO36" s="131"/>
      <c r="GP36" s="131"/>
      <c r="GQ36" s="131"/>
      <c r="GR36" s="131"/>
      <c r="GS36" s="131"/>
      <c r="GT36" s="131"/>
      <c r="GU36" s="131"/>
      <c r="GV36" s="131"/>
      <c r="GW36" s="131"/>
      <c r="GX36" s="131"/>
      <c r="GY36" s="131"/>
      <c r="GZ36" s="131"/>
      <c r="HA36" s="131"/>
      <c r="HB36" s="131"/>
      <c r="HC36" s="131"/>
      <c r="HD36" s="131"/>
      <c r="HE36" s="131"/>
      <c r="HF36" s="131"/>
      <c r="HG36" s="131"/>
      <c r="HH36" s="131"/>
      <c r="HI36" s="131"/>
      <c r="HJ36" s="131"/>
      <c r="HK36" s="131"/>
      <c r="HL36" s="131"/>
      <c r="HM36" s="131"/>
      <c r="HN36" s="131"/>
      <c r="HO36" s="131"/>
      <c r="HP36" s="131"/>
      <c r="HQ36" s="131"/>
      <c r="HR36" s="131"/>
      <c r="HS36" s="131"/>
      <c r="HT36" s="131"/>
      <c r="HU36" s="131"/>
      <c r="HV36" s="131"/>
      <c r="HW36" s="131"/>
      <c r="HX36" s="131"/>
      <c r="HY36" s="131"/>
      <c r="HZ36" s="131"/>
      <c r="IA36" s="131"/>
      <c r="IB36" s="131"/>
      <c r="IC36" s="131"/>
      <c r="ID36" s="131"/>
      <c r="IE36" s="131"/>
      <c r="IF36" s="131"/>
      <c r="IG36" s="131"/>
      <c r="IH36" s="131"/>
      <c r="II36" s="131"/>
      <c r="IJ36" s="131"/>
      <c r="IK36" s="131"/>
      <c r="IL36" s="131"/>
      <c r="IM36" s="131"/>
      <c r="IN36" s="131"/>
      <c r="IO36" s="131"/>
      <c r="IP36" s="131"/>
      <c r="IQ36" s="131"/>
      <c r="IR36" s="131"/>
      <c r="IS36" s="131"/>
      <c r="IT36" s="131"/>
      <c r="IU36" s="131"/>
      <c r="IV36" s="131"/>
      <c r="IW36" s="131"/>
      <c r="IX36" s="131"/>
      <c r="IY36" s="131"/>
      <c r="IZ36" s="131"/>
      <c r="JA36" s="131"/>
      <c r="JB36" s="131"/>
      <c r="JC36" s="131"/>
      <c r="JD36" s="131"/>
      <c r="JE36" s="131"/>
      <c r="JF36" s="131"/>
      <c r="JG36" s="131"/>
      <c r="JH36" s="131"/>
      <c r="JI36" s="131"/>
      <c r="JJ36" s="131"/>
      <c r="JK36" s="131"/>
      <c r="JL36" s="131"/>
      <c r="JM36" s="131"/>
      <c r="JN36" s="131"/>
      <c r="JO36" s="131"/>
      <c r="JP36" s="131"/>
      <c r="JQ36" s="131"/>
      <c r="JR36" s="131"/>
      <c r="JS36" s="131"/>
      <c r="JT36" s="131"/>
      <c r="JU36" s="131"/>
      <c r="JV36" s="131"/>
      <c r="JW36" s="131"/>
      <c r="JX36" s="131"/>
      <c r="JY36" s="131"/>
      <c r="JZ36" s="131"/>
      <c r="KA36" s="131"/>
      <c r="KB36" s="131"/>
      <c r="KC36" s="131"/>
      <c r="KD36" s="131"/>
      <c r="KE36" s="131"/>
      <c r="KF36" s="131"/>
      <c r="KG36" s="131"/>
      <c r="KH36" s="131"/>
      <c r="KI36" s="131"/>
      <c r="KJ36" s="131"/>
      <c r="KK36" s="131"/>
      <c r="KL36" s="131"/>
      <c r="KM36" s="131"/>
      <c r="KN36" s="131"/>
      <c r="KO36" s="131"/>
      <c r="KP36" s="131"/>
      <c r="KQ36" s="131"/>
      <c r="KR36" s="131"/>
      <c r="KS36" s="131"/>
      <c r="KT36" s="131"/>
      <c r="KU36" s="131"/>
      <c r="KV36" s="131"/>
      <c r="KW36" s="131"/>
      <c r="KX36" s="131"/>
      <c r="KY36" s="131"/>
      <c r="KZ36" s="131"/>
      <c r="LA36" s="131"/>
      <c r="LB36" s="131"/>
      <c r="LC36" s="131"/>
      <c r="LD36" s="131"/>
      <c r="LE36" s="131"/>
      <c r="LF36" s="131"/>
      <c r="LG36" s="131"/>
      <c r="LH36" s="131"/>
      <c r="LI36" s="131"/>
      <c r="LJ36" s="131"/>
      <c r="LK36" s="131"/>
      <c r="LL36" s="131"/>
      <c r="LM36" s="131"/>
      <c r="LN36" s="131"/>
      <c r="LO36" s="131"/>
      <c r="LP36" s="131"/>
      <c r="LQ36" s="131"/>
      <c r="LR36" s="131"/>
      <c r="LS36" s="131"/>
      <c r="LT36" s="131"/>
      <c r="LU36" s="131"/>
      <c r="LV36" s="131"/>
      <c r="LW36" s="131"/>
      <c r="LX36" s="131"/>
      <c r="LY36" s="131"/>
      <c r="LZ36" s="131"/>
      <c r="MA36" s="131"/>
      <c r="MB36" s="131"/>
      <c r="MC36" s="131"/>
      <c r="MD36" s="131"/>
      <c r="ME36" s="131"/>
      <c r="MF36" s="131"/>
      <c r="MG36" s="131"/>
      <c r="MH36" s="131"/>
      <c r="MI36" s="131"/>
      <c r="MJ36" s="131"/>
      <c r="MK36" s="131"/>
      <c r="ML36" s="131"/>
      <c r="MM36" s="131"/>
      <c r="MN36" s="131"/>
      <c r="MO36" s="131"/>
      <c r="MP36" s="131"/>
      <c r="MQ36" s="131"/>
      <c r="MR36" s="131"/>
      <c r="MS36" s="131"/>
      <c r="MT36" s="131"/>
      <c r="MU36" s="131"/>
      <c r="MV36" s="131"/>
      <c r="MW36" s="131"/>
      <c r="MX36" s="131"/>
      <c r="MY36" s="131"/>
      <c r="MZ36" s="131"/>
      <c r="NA36" s="131"/>
      <c r="NB36" s="131"/>
      <c r="NC36" s="131"/>
      <c r="ND36" s="131"/>
      <c r="NE36" s="131"/>
      <c r="NF36" s="131"/>
      <c r="NG36" s="131"/>
      <c r="NH36" s="131"/>
      <c r="NI36" s="131"/>
      <c r="NJ36" s="131"/>
      <c r="NK36" s="131"/>
      <c r="NL36" s="131"/>
      <c r="NM36" s="131"/>
      <c r="NN36" s="131"/>
      <c r="NO36" s="131"/>
      <c r="NP36" s="131"/>
      <c r="NQ36" s="131"/>
      <c r="NR36" s="131"/>
      <c r="NS36" s="131"/>
      <c r="NT36" s="131"/>
      <c r="NU36" s="131"/>
      <c r="NV36" s="131"/>
      <c r="NW36" s="131"/>
      <c r="NX36" s="131"/>
      <c r="NY36" s="131"/>
      <c r="NZ36" s="131"/>
      <c r="OA36" s="131"/>
      <c r="OB36" s="131"/>
      <c r="OC36" s="131"/>
      <c r="OD36" s="131"/>
      <c r="OE36" s="131"/>
      <c r="OF36" s="131"/>
      <c r="OG36" s="131"/>
      <c r="OH36" s="132"/>
    </row>
    <row r="37" spans="1:398" x14ac:dyDescent="0.35">
      <c r="A37" s="102"/>
      <c r="B37" s="168">
        <f t="shared" si="8"/>
        <v>9</v>
      </c>
      <c r="C37" s="171" t="s">
        <v>903</v>
      </c>
      <c r="D37" s="124" t="s">
        <v>904</v>
      </c>
      <c r="E37" s="124" t="s">
        <v>905</v>
      </c>
      <c r="F37" s="125" t="s">
        <v>907</v>
      </c>
      <c r="G37" s="125" t="s">
        <v>740</v>
      </c>
      <c r="H37" s="125"/>
      <c r="I37" s="129">
        <v>0</v>
      </c>
      <c r="J37" s="129">
        <v>0</v>
      </c>
      <c r="K37" s="129">
        <v>0</v>
      </c>
      <c r="L37" s="129">
        <v>0</v>
      </c>
      <c r="M37" s="129">
        <v>0</v>
      </c>
      <c r="N37" s="129">
        <v>0</v>
      </c>
      <c r="O37" s="130">
        <f t="shared" si="10"/>
        <v>0</v>
      </c>
      <c r="P37" s="129">
        <v>0</v>
      </c>
      <c r="Q37" s="129">
        <v>0</v>
      </c>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1"/>
      <c r="BT37" s="131"/>
      <c r="BU37" s="131"/>
      <c r="BV37" s="131"/>
      <c r="BW37" s="131"/>
      <c r="BX37" s="131"/>
      <c r="BY37" s="131"/>
      <c r="BZ37" s="131"/>
      <c r="CA37" s="131"/>
      <c r="CB37" s="131"/>
      <c r="CC37" s="131"/>
      <c r="CD37" s="131"/>
      <c r="CE37" s="131"/>
      <c r="CF37" s="131"/>
      <c r="CG37" s="131"/>
      <c r="CH37" s="131"/>
      <c r="CI37" s="131"/>
      <c r="CJ37" s="131"/>
      <c r="CK37" s="131"/>
      <c r="CL37" s="131"/>
      <c r="CM37" s="131"/>
      <c r="CN37" s="131"/>
      <c r="CO37" s="131"/>
      <c r="CP37" s="131"/>
      <c r="CQ37" s="131"/>
      <c r="CR37" s="131"/>
      <c r="CS37" s="131"/>
      <c r="CT37" s="131"/>
      <c r="CU37" s="131"/>
      <c r="CV37" s="131"/>
      <c r="CW37" s="131"/>
      <c r="CX37" s="131"/>
      <c r="CY37" s="131"/>
      <c r="CZ37" s="131"/>
      <c r="DA37" s="131"/>
      <c r="DB37" s="131"/>
      <c r="DC37" s="131"/>
      <c r="DD37" s="131"/>
      <c r="DE37" s="131"/>
      <c r="DF37" s="131"/>
      <c r="DG37" s="131"/>
      <c r="DH37" s="131"/>
      <c r="DI37" s="131"/>
      <c r="DJ37" s="131"/>
      <c r="DK37" s="131"/>
      <c r="DL37" s="131"/>
      <c r="DM37" s="131"/>
      <c r="DN37" s="131"/>
      <c r="DO37" s="131"/>
      <c r="DP37" s="131"/>
      <c r="DQ37" s="131"/>
      <c r="DR37" s="131"/>
      <c r="DS37" s="131"/>
      <c r="DT37" s="131"/>
      <c r="DU37" s="131"/>
      <c r="DV37" s="131"/>
      <c r="DW37" s="131"/>
      <c r="DX37" s="131"/>
      <c r="DY37" s="131"/>
      <c r="DZ37" s="131"/>
      <c r="EA37" s="131"/>
      <c r="EB37" s="131"/>
      <c r="EC37" s="131"/>
      <c r="ED37" s="131"/>
      <c r="EE37" s="131"/>
      <c r="EF37" s="131"/>
      <c r="EG37" s="131"/>
      <c r="EH37" s="131"/>
      <c r="EI37" s="131"/>
      <c r="EJ37" s="131"/>
      <c r="EK37" s="131"/>
      <c r="EL37" s="131"/>
      <c r="EM37" s="131"/>
      <c r="EN37" s="131"/>
      <c r="EO37" s="131"/>
      <c r="EP37" s="131"/>
      <c r="EQ37" s="131"/>
      <c r="ER37" s="131"/>
      <c r="ES37" s="131"/>
      <c r="ET37" s="131"/>
      <c r="EU37" s="131"/>
      <c r="EV37" s="131"/>
      <c r="EW37" s="131"/>
      <c r="EX37" s="131"/>
      <c r="EY37" s="131"/>
      <c r="EZ37" s="131"/>
      <c r="FA37" s="131"/>
      <c r="FB37" s="131"/>
      <c r="FC37" s="131"/>
      <c r="FD37" s="131"/>
      <c r="FE37" s="131"/>
      <c r="FF37" s="131"/>
      <c r="FG37" s="131"/>
      <c r="FH37" s="131"/>
      <c r="FI37" s="131"/>
      <c r="FJ37" s="131"/>
      <c r="FK37" s="131"/>
      <c r="FL37" s="131"/>
      <c r="FM37" s="131"/>
      <c r="FN37" s="131"/>
      <c r="FO37" s="131"/>
      <c r="FP37" s="131"/>
      <c r="FQ37" s="131"/>
      <c r="FR37" s="131"/>
      <c r="FS37" s="131"/>
      <c r="FT37" s="131"/>
      <c r="FU37" s="131"/>
      <c r="FV37" s="131"/>
      <c r="FW37" s="131"/>
      <c r="FX37" s="131"/>
      <c r="FY37" s="131"/>
      <c r="FZ37" s="131"/>
      <c r="GA37" s="131"/>
      <c r="GB37" s="131"/>
      <c r="GC37" s="131"/>
      <c r="GD37" s="131"/>
      <c r="GE37" s="131"/>
      <c r="GF37" s="131"/>
      <c r="GG37" s="131"/>
      <c r="GH37" s="131"/>
      <c r="GI37" s="131"/>
      <c r="GJ37" s="131"/>
      <c r="GK37" s="131"/>
      <c r="GL37" s="131"/>
      <c r="GM37" s="131"/>
      <c r="GN37" s="131"/>
      <c r="GO37" s="131"/>
      <c r="GP37" s="131"/>
      <c r="GQ37" s="131"/>
      <c r="GR37" s="131"/>
      <c r="GS37" s="131"/>
      <c r="GT37" s="131"/>
      <c r="GU37" s="131"/>
      <c r="GV37" s="131"/>
      <c r="GW37" s="131"/>
      <c r="GX37" s="131"/>
      <c r="GY37" s="131"/>
      <c r="GZ37" s="131"/>
      <c r="HA37" s="131"/>
      <c r="HB37" s="131"/>
      <c r="HC37" s="131"/>
      <c r="HD37" s="131"/>
      <c r="HE37" s="131"/>
      <c r="HF37" s="131"/>
      <c r="HG37" s="131"/>
      <c r="HH37" s="131"/>
      <c r="HI37" s="131"/>
      <c r="HJ37" s="131"/>
      <c r="HK37" s="131"/>
      <c r="HL37" s="131"/>
      <c r="HM37" s="131"/>
      <c r="HN37" s="131"/>
      <c r="HO37" s="131"/>
      <c r="HP37" s="131"/>
      <c r="HQ37" s="131"/>
      <c r="HR37" s="131"/>
      <c r="HS37" s="131"/>
      <c r="HT37" s="131"/>
      <c r="HU37" s="131"/>
      <c r="HV37" s="131"/>
      <c r="HW37" s="131"/>
      <c r="HX37" s="131"/>
      <c r="HY37" s="131"/>
      <c r="HZ37" s="131"/>
      <c r="IA37" s="131"/>
      <c r="IB37" s="131"/>
      <c r="IC37" s="131"/>
      <c r="ID37" s="131"/>
      <c r="IE37" s="131"/>
      <c r="IF37" s="131"/>
      <c r="IG37" s="131"/>
      <c r="IH37" s="131"/>
      <c r="II37" s="131"/>
      <c r="IJ37" s="131"/>
      <c r="IK37" s="131"/>
      <c r="IL37" s="131"/>
      <c r="IM37" s="131"/>
      <c r="IN37" s="131"/>
      <c r="IO37" s="131"/>
      <c r="IP37" s="131"/>
      <c r="IQ37" s="131"/>
      <c r="IR37" s="131"/>
      <c r="IS37" s="131"/>
      <c r="IT37" s="131"/>
      <c r="IU37" s="131"/>
      <c r="IV37" s="131"/>
      <c r="IW37" s="131"/>
      <c r="IX37" s="131"/>
      <c r="IY37" s="131"/>
      <c r="IZ37" s="131"/>
      <c r="JA37" s="131"/>
      <c r="JB37" s="131"/>
      <c r="JC37" s="131"/>
      <c r="JD37" s="131"/>
      <c r="JE37" s="131"/>
      <c r="JF37" s="131"/>
      <c r="JG37" s="131"/>
      <c r="JH37" s="131"/>
      <c r="JI37" s="131"/>
      <c r="JJ37" s="131"/>
      <c r="JK37" s="131"/>
      <c r="JL37" s="131"/>
      <c r="JM37" s="131"/>
      <c r="JN37" s="131"/>
      <c r="JO37" s="131"/>
      <c r="JP37" s="131"/>
      <c r="JQ37" s="131"/>
      <c r="JR37" s="131"/>
      <c r="JS37" s="131"/>
      <c r="JT37" s="131"/>
      <c r="JU37" s="131"/>
      <c r="JV37" s="131"/>
      <c r="JW37" s="131"/>
      <c r="JX37" s="131"/>
      <c r="JY37" s="131"/>
      <c r="JZ37" s="131"/>
      <c r="KA37" s="131"/>
      <c r="KB37" s="131"/>
      <c r="KC37" s="131"/>
      <c r="KD37" s="131"/>
      <c r="KE37" s="131"/>
      <c r="KF37" s="131"/>
      <c r="KG37" s="131"/>
      <c r="KH37" s="131"/>
      <c r="KI37" s="131"/>
      <c r="KJ37" s="131"/>
      <c r="KK37" s="131"/>
      <c r="KL37" s="131"/>
      <c r="KM37" s="131"/>
      <c r="KN37" s="131"/>
      <c r="KO37" s="131"/>
      <c r="KP37" s="131"/>
      <c r="KQ37" s="131"/>
      <c r="KR37" s="131"/>
      <c r="KS37" s="131"/>
      <c r="KT37" s="131"/>
      <c r="KU37" s="131"/>
      <c r="KV37" s="131"/>
      <c r="KW37" s="131"/>
      <c r="KX37" s="131"/>
      <c r="KY37" s="131"/>
      <c r="KZ37" s="131"/>
      <c r="LA37" s="131"/>
      <c r="LB37" s="131"/>
      <c r="LC37" s="131"/>
      <c r="LD37" s="131"/>
      <c r="LE37" s="131"/>
      <c r="LF37" s="131"/>
      <c r="LG37" s="131"/>
      <c r="LH37" s="131"/>
      <c r="LI37" s="131"/>
      <c r="LJ37" s="131"/>
      <c r="LK37" s="131"/>
      <c r="LL37" s="131"/>
      <c r="LM37" s="131"/>
      <c r="LN37" s="131"/>
      <c r="LO37" s="131"/>
      <c r="LP37" s="131"/>
      <c r="LQ37" s="131"/>
      <c r="LR37" s="131"/>
      <c r="LS37" s="131"/>
      <c r="LT37" s="131"/>
      <c r="LU37" s="131"/>
      <c r="LV37" s="131"/>
      <c r="LW37" s="131"/>
      <c r="LX37" s="131"/>
      <c r="LY37" s="131"/>
      <c r="LZ37" s="131"/>
      <c r="MA37" s="131"/>
      <c r="MB37" s="131"/>
      <c r="MC37" s="131"/>
      <c r="MD37" s="131"/>
      <c r="ME37" s="131"/>
      <c r="MF37" s="131"/>
      <c r="MG37" s="131"/>
      <c r="MH37" s="131"/>
      <c r="MI37" s="131"/>
      <c r="MJ37" s="131"/>
      <c r="MK37" s="131"/>
      <c r="ML37" s="131"/>
      <c r="MM37" s="131"/>
      <c r="MN37" s="131"/>
      <c r="MO37" s="131"/>
      <c r="MP37" s="131"/>
      <c r="MQ37" s="131"/>
      <c r="MR37" s="131"/>
      <c r="MS37" s="131"/>
      <c r="MT37" s="131"/>
      <c r="MU37" s="131"/>
      <c r="MV37" s="131"/>
      <c r="MW37" s="131"/>
      <c r="MX37" s="131"/>
      <c r="MY37" s="131"/>
      <c r="MZ37" s="131"/>
      <c r="NA37" s="131"/>
      <c r="NB37" s="131"/>
      <c r="NC37" s="131"/>
      <c r="ND37" s="131"/>
      <c r="NE37" s="131"/>
      <c r="NF37" s="131"/>
      <c r="NG37" s="131"/>
      <c r="NH37" s="131"/>
      <c r="NI37" s="131"/>
      <c r="NJ37" s="131"/>
      <c r="NK37" s="131"/>
      <c r="NL37" s="131"/>
      <c r="NM37" s="131"/>
      <c r="NN37" s="131"/>
      <c r="NO37" s="131"/>
      <c r="NP37" s="131"/>
      <c r="NQ37" s="131"/>
      <c r="NR37" s="131"/>
      <c r="NS37" s="131"/>
      <c r="NT37" s="131"/>
      <c r="NU37" s="131"/>
      <c r="NV37" s="131"/>
      <c r="NW37" s="131"/>
      <c r="NX37" s="131"/>
      <c r="NY37" s="131"/>
      <c r="NZ37" s="131"/>
      <c r="OA37" s="131"/>
      <c r="OB37" s="131"/>
      <c r="OC37" s="131"/>
      <c r="OD37" s="131"/>
      <c r="OE37" s="131"/>
      <c r="OF37" s="131"/>
      <c r="OG37" s="131"/>
      <c r="OH37" s="132"/>
    </row>
    <row r="38" spans="1:398" x14ac:dyDescent="0.35">
      <c r="A38" s="102"/>
      <c r="B38" s="168">
        <f t="shared" si="8"/>
        <v>10</v>
      </c>
      <c r="C38" s="171" t="s">
        <v>903</v>
      </c>
      <c r="D38" s="124" t="s">
        <v>904</v>
      </c>
      <c r="E38" s="124" t="s">
        <v>905</v>
      </c>
      <c r="F38" s="125" t="s">
        <v>907</v>
      </c>
      <c r="G38" s="125" t="s">
        <v>741</v>
      </c>
      <c r="H38" s="125"/>
      <c r="I38" s="129">
        <v>0</v>
      </c>
      <c r="J38" s="129">
        <v>0</v>
      </c>
      <c r="K38" s="129">
        <v>0</v>
      </c>
      <c r="L38" s="129">
        <v>0</v>
      </c>
      <c r="M38" s="129">
        <v>0</v>
      </c>
      <c r="N38" s="129">
        <v>0</v>
      </c>
      <c r="O38" s="130">
        <f t="shared" si="10"/>
        <v>0</v>
      </c>
      <c r="P38" s="129">
        <v>0</v>
      </c>
      <c r="Q38" s="129">
        <v>0</v>
      </c>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c r="CR38" s="131"/>
      <c r="CS38" s="131"/>
      <c r="CT38" s="131"/>
      <c r="CU38" s="131"/>
      <c r="CV38" s="131"/>
      <c r="CW38" s="131"/>
      <c r="CX38" s="131"/>
      <c r="CY38" s="131"/>
      <c r="CZ38" s="131"/>
      <c r="DA38" s="131"/>
      <c r="DB38" s="131"/>
      <c r="DC38" s="131"/>
      <c r="DD38" s="131"/>
      <c r="DE38" s="131"/>
      <c r="DF38" s="131"/>
      <c r="DG38" s="131"/>
      <c r="DH38" s="131"/>
      <c r="DI38" s="131"/>
      <c r="DJ38" s="131"/>
      <c r="DK38" s="131"/>
      <c r="DL38" s="131"/>
      <c r="DM38" s="131"/>
      <c r="DN38" s="131"/>
      <c r="DO38" s="131"/>
      <c r="DP38" s="131"/>
      <c r="DQ38" s="131"/>
      <c r="DR38" s="131"/>
      <c r="DS38" s="131"/>
      <c r="DT38" s="131"/>
      <c r="DU38" s="131"/>
      <c r="DV38" s="131"/>
      <c r="DW38" s="131"/>
      <c r="DX38" s="131"/>
      <c r="DY38" s="131"/>
      <c r="DZ38" s="131"/>
      <c r="EA38" s="131"/>
      <c r="EB38" s="131"/>
      <c r="EC38" s="131"/>
      <c r="ED38" s="131"/>
      <c r="EE38" s="131"/>
      <c r="EF38" s="131"/>
      <c r="EG38" s="131"/>
      <c r="EH38" s="131"/>
      <c r="EI38" s="131"/>
      <c r="EJ38" s="131"/>
      <c r="EK38" s="131"/>
      <c r="EL38" s="131"/>
      <c r="EM38" s="131"/>
      <c r="EN38" s="131"/>
      <c r="EO38" s="131"/>
      <c r="EP38" s="131"/>
      <c r="EQ38" s="131"/>
      <c r="ER38" s="131"/>
      <c r="ES38" s="131"/>
      <c r="ET38" s="131"/>
      <c r="EU38" s="131"/>
      <c r="EV38" s="131"/>
      <c r="EW38" s="131"/>
      <c r="EX38" s="131"/>
      <c r="EY38" s="131"/>
      <c r="EZ38" s="131"/>
      <c r="FA38" s="131"/>
      <c r="FB38" s="131"/>
      <c r="FC38" s="131"/>
      <c r="FD38" s="131"/>
      <c r="FE38" s="131"/>
      <c r="FF38" s="131"/>
      <c r="FG38" s="131"/>
      <c r="FH38" s="131"/>
      <c r="FI38" s="131"/>
      <c r="FJ38" s="131"/>
      <c r="FK38" s="131"/>
      <c r="FL38" s="131"/>
      <c r="FM38" s="131"/>
      <c r="FN38" s="131"/>
      <c r="FO38" s="131"/>
      <c r="FP38" s="131"/>
      <c r="FQ38" s="131"/>
      <c r="FR38" s="131"/>
      <c r="FS38" s="131"/>
      <c r="FT38" s="131"/>
      <c r="FU38" s="131"/>
      <c r="FV38" s="131"/>
      <c r="FW38" s="131"/>
      <c r="FX38" s="131"/>
      <c r="FY38" s="131"/>
      <c r="FZ38" s="131"/>
      <c r="GA38" s="131"/>
      <c r="GB38" s="131"/>
      <c r="GC38" s="131"/>
      <c r="GD38" s="131"/>
      <c r="GE38" s="131"/>
      <c r="GF38" s="131"/>
      <c r="GG38" s="131"/>
      <c r="GH38" s="131"/>
      <c r="GI38" s="131"/>
      <c r="GJ38" s="131"/>
      <c r="GK38" s="131"/>
      <c r="GL38" s="131"/>
      <c r="GM38" s="131"/>
      <c r="GN38" s="131"/>
      <c r="GO38" s="131"/>
      <c r="GP38" s="131"/>
      <c r="GQ38" s="131"/>
      <c r="GR38" s="131"/>
      <c r="GS38" s="131"/>
      <c r="GT38" s="131"/>
      <c r="GU38" s="131"/>
      <c r="GV38" s="131"/>
      <c r="GW38" s="131"/>
      <c r="GX38" s="131"/>
      <c r="GY38" s="131"/>
      <c r="GZ38" s="131"/>
      <c r="HA38" s="131"/>
      <c r="HB38" s="131"/>
      <c r="HC38" s="131"/>
      <c r="HD38" s="131"/>
      <c r="HE38" s="131"/>
      <c r="HF38" s="131"/>
      <c r="HG38" s="131"/>
      <c r="HH38" s="131"/>
      <c r="HI38" s="131"/>
      <c r="HJ38" s="131"/>
      <c r="HK38" s="131"/>
      <c r="HL38" s="131"/>
      <c r="HM38" s="131"/>
      <c r="HN38" s="131"/>
      <c r="HO38" s="131"/>
      <c r="HP38" s="131"/>
      <c r="HQ38" s="131"/>
      <c r="HR38" s="131"/>
      <c r="HS38" s="131"/>
      <c r="HT38" s="131"/>
      <c r="HU38" s="131"/>
      <c r="HV38" s="131"/>
      <c r="HW38" s="131"/>
      <c r="HX38" s="131"/>
      <c r="HY38" s="131"/>
      <c r="HZ38" s="131"/>
      <c r="IA38" s="131"/>
      <c r="IB38" s="131"/>
      <c r="IC38" s="131"/>
      <c r="ID38" s="131"/>
      <c r="IE38" s="131"/>
      <c r="IF38" s="131"/>
      <c r="IG38" s="131"/>
      <c r="IH38" s="131"/>
      <c r="II38" s="131"/>
      <c r="IJ38" s="131"/>
      <c r="IK38" s="131"/>
      <c r="IL38" s="131"/>
      <c r="IM38" s="131"/>
      <c r="IN38" s="131"/>
      <c r="IO38" s="131"/>
      <c r="IP38" s="131"/>
      <c r="IQ38" s="131"/>
      <c r="IR38" s="131"/>
      <c r="IS38" s="131"/>
      <c r="IT38" s="131"/>
      <c r="IU38" s="131"/>
      <c r="IV38" s="131"/>
      <c r="IW38" s="131"/>
      <c r="IX38" s="131"/>
      <c r="IY38" s="131"/>
      <c r="IZ38" s="131"/>
      <c r="JA38" s="131"/>
      <c r="JB38" s="131"/>
      <c r="JC38" s="131"/>
      <c r="JD38" s="131"/>
      <c r="JE38" s="131"/>
      <c r="JF38" s="131"/>
      <c r="JG38" s="131"/>
      <c r="JH38" s="131"/>
      <c r="JI38" s="131"/>
      <c r="JJ38" s="131"/>
      <c r="JK38" s="131"/>
      <c r="JL38" s="131"/>
      <c r="JM38" s="131"/>
      <c r="JN38" s="131"/>
      <c r="JO38" s="131"/>
      <c r="JP38" s="131"/>
      <c r="JQ38" s="131"/>
      <c r="JR38" s="131"/>
      <c r="JS38" s="131"/>
      <c r="JT38" s="131"/>
      <c r="JU38" s="131"/>
      <c r="JV38" s="131"/>
      <c r="JW38" s="131"/>
      <c r="JX38" s="131"/>
      <c r="JY38" s="131"/>
      <c r="JZ38" s="131"/>
      <c r="KA38" s="131"/>
      <c r="KB38" s="131"/>
      <c r="KC38" s="131"/>
      <c r="KD38" s="131"/>
      <c r="KE38" s="131"/>
      <c r="KF38" s="131"/>
      <c r="KG38" s="131"/>
      <c r="KH38" s="131"/>
      <c r="KI38" s="131"/>
      <c r="KJ38" s="131"/>
      <c r="KK38" s="131"/>
      <c r="KL38" s="131"/>
      <c r="KM38" s="131"/>
      <c r="KN38" s="131"/>
      <c r="KO38" s="131"/>
      <c r="KP38" s="131"/>
      <c r="KQ38" s="131"/>
      <c r="KR38" s="131"/>
      <c r="KS38" s="131"/>
      <c r="KT38" s="131"/>
      <c r="KU38" s="131"/>
      <c r="KV38" s="131"/>
      <c r="KW38" s="131"/>
      <c r="KX38" s="131"/>
      <c r="KY38" s="131"/>
      <c r="KZ38" s="131"/>
      <c r="LA38" s="131"/>
      <c r="LB38" s="131"/>
      <c r="LC38" s="131"/>
      <c r="LD38" s="131"/>
      <c r="LE38" s="131"/>
      <c r="LF38" s="131"/>
      <c r="LG38" s="131"/>
      <c r="LH38" s="131"/>
      <c r="LI38" s="131"/>
      <c r="LJ38" s="131"/>
      <c r="LK38" s="131"/>
      <c r="LL38" s="131"/>
      <c r="LM38" s="131"/>
      <c r="LN38" s="131"/>
      <c r="LO38" s="131"/>
      <c r="LP38" s="131"/>
      <c r="LQ38" s="131"/>
      <c r="LR38" s="131"/>
      <c r="LS38" s="131"/>
      <c r="LT38" s="131"/>
      <c r="LU38" s="131"/>
      <c r="LV38" s="131"/>
      <c r="LW38" s="131"/>
      <c r="LX38" s="131"/>
      <c r="LY38" s="131"/>
      <c r="LZ38" s="131"/>
      <c r="MA38" s="131"/>
      <c r="MB38" s="131"/>
      <c r="MC38" s="131"/>
      <c r="MD38" s="131"/>
      <c r="ME38" s="131"/>
      <c r="MF38" s="131"/>
      <c r="MG38" s="131"/>
      <c r="MH38" s="131"/>
      <c r="MI38" s="131"/>
      <c r="MJ38" s="131"/>
      <c r="MK38" s="131"/>
      <c r="ML38" s="131"/>
      <c r="MM38" s="131"/>
      <c r="MN38" s="131"/>
      <c r="MO38" s="131"/>
      <c r="MP38" s="131"/>
      <c r="MQ38" s="131"/>
      <c r="MR38" s="131"/>
      <c r="MS38" s="131"/>
      <c r="MT38" s="131"/>
      <c r="MU38" s="131"/>
      <c r="MV38" s="131"/>
      <c r="MW38" s="131"/>
      <c r="MX38" s="131"/>
      <c r="MY38" s="131"/>
      <c r="MZ38" s="131"/>
      <c r="NA38" s="131"/>
      <c r="NB38" s="131"/>
      <c r="NC38" s="131"/>
      <c r="ND38" s="131"/>
      <c r="NE38" s="131"/>
      <c r="NF38" s="131"/>
      <c r="NG38" s="131"/>
      <c r="NH38" s="131"/>
      <c r="NI38" s="131"/>
      <c r="NJ38" s="131"/>
      <c r="NK38" s="131"/>
      <c r="NL38" s="131"/>
      <c r="NM38" s="131"/>
      <c r="NN38" s="131"/>
      <c r="NO38" s="131"/>
      <c r="NP38" s="131"/>
      <c r="NQ38" s="131"/>
      <c r="NR38" s="131"/>
      <c r="NS38" s="131"/>
      <c r="NT38" s="131"/>
      <c r="NU38" s="131"/>
      <c r="NV38" s="131"/>
      <c r="NW38" s="131"/>
      <c r="NX38" s="131"/>
      <c r="NY38" s="131"/>
      <c r="NZ38" s="131"/>
      <c r="OA38" s="131"/>
      <c r="OB38" s="131"/>
      <c r="OC38" s="131"/>
      <c r="OD38" s="131"/>
      <c r="OE38" s="131"/>
      <c r="OF38" s="131"/>
      <c r="OG38" s="131"/>
      <c r="OH38" s="132"/>
    </row>
    <row r="39" spans="1:398" x14ac:dyDescent="0.35">
      <c r="A39" s="102"/>
      <c r="B39" s="168">
        <f t="shared" si="8"/>
        <v>11</v>
      </c>
      <c r="C39" s="171" t="s">
        <v>903</v>
      </c>
      <c r="D39" s="124" t="s">
        <v>904</v>
      </c>
      <c r="E39" s="124" t="s">
        <v>905</v>
      </c>
      <c r="F39" s="125" t="s">
        <v>907</v>
      </c>
      <c r="G39" s="125" t="s">
        <v>742</v>
      </c>
      <c r="H39" s="125"/>
      <c r="I39" s="129">
        <v>0</v>
      </c>
      <c r="J39" s="129">
        <v>0</v>
      </c>
      <c r="K39" s="129">
        <v>0</v>
      </c>
      <c r="L39" s="129">
        <v>0</v>
      </c>
      <c r="M39" s="129">
        <v>0</v>
      </c>
      <c r="N39" s="129">
        <v>0</v>
      </c>
      <c r="O39" s="130">
        <f t="shared" si="10"/>
        <v>0</v>
      </c>
      <c r="P39" s="129">
        <v>0</v>
      </c>
      <c r="Q39" s="129">
        <v>0</v>
      </c>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131"/>
      <c r="CA39" s="131"/>
      <c r="CB39" s="131"/>
      <c r="CC39" s="131"/>
      <c r="CD39" s="131"/>
      <c r="CE39" s="131"/>
      <c r="CF39" s="131"/>
      <c r="CG39" s="131"/>
      <c r="CH39" s="131"/>
      <c r="CI39" s="131"/>
      <c r="CJ39" s="131"/>
      <c r="CK39" s="131"/>
      <c r="CL39" s="131"/>
      <c r="CM39" s="131"/>
      <c r="CN39" s="131"/>
      <c r="CO39" s="131"/>
      <c r="CP39" s="131"/>
      <c r="CQ39" s="131"/>
      <c r="CR39" s="131"/>
      <c r="CS39" s="131"/>
      <c r="CT39" s="131"/>
      <c r="CU39" s="131"/>
      <c r="CV39" s="131"/>
      <c r="CW39" s="131"/>
      <c r="CX39" s="131"/>
      <c r="CY39" s="131"/>
      <c r="CZ39" s="131"/>
      <c r="DA39" s="131"/>
      <c r="DB39" s="131"/>
      <c r="DC39" s="131"/>
      <c r="DD39" s="131"/>
      <c r="DE39" s="131"/>
      <c r="DF39" s="131"/>
      <c r="DG39" s="131"/>
      <c r="DH39" s="131"/>
      <c r="DI39" s="131"/>
      <c r="DJ39" s="131"/>
      <c r="DK39" s="131"/>
      <c r="DL39" s="131"/>
      <c r="DM39" s="131"/>
      <c r="DN39" s="131"/>
      <c r="DO39" s="131"/>
      <c r="DP39" s="131"/>
      <c r="DQ39" s="131"/>
      <c r="DR39" s="131"/>
      <c r="DS39" s="131"/>
      <c r="DT39" s="131"/>
      <c r="DU39" s="131"/>
      <c r="DV39" s="131"/>
      <c r="DW39" s="131"/>
      <c r="DX39" s="131"/>
      <c r="DY39" s="131"/>
      <c r="DZ39" s="131"/>
      <c r="EA39" s="131"/>
      <c r="EB39" s="131"/>
      <c r="EC39" s="131"/>
      <c r="ED39" s="131"/>
      <c r="EE39" s="131"/>
      <c r="EF39" s="131"/>
      <c r="EG39" s="131"/>
      <c r="EH39" s="131"/>
      <c r="EI39" s="131"/>
      <c r="EJ39" s="131"/>
      <c r="EK39" s="131"/>
      <c r="EL39" s="131"/>
      <c r="EM39" s="131"/>
      <c r="EN39" s="131"/>
      <c r="EO39" s="131"/>
      <c r="EP39" s="131"/>
      <c r="EQ39" s="131"/>
      <c r="ER39" s="131"/>
      <c r="ES39" s="131"/>
      <c r="ET39" s="131"/>
      <c r="EU39" s="131"/>
      <c r="EV39" s="131"/>
      <c r="EW39" s="131"/>
      <c r="EX39" s="131"/>
      <c r="EY39" s="131"/>
      <c r="EZ39" s="131"/>
      <c r="FA39" s="131"/>
      <c r="FB39" s="131"/>
      <c r="FC39" s="131"/>
      <c r="FD39" s="131"/>
      <c r="FE39" s="131"/>
      <c r="FF39" s="131"/>
      <c r="FG39" s="131"/>
      <c r="FH39" s="131"/>
      <c r="FI39" s="131"/>
      <c r="FJ39" s="131"/>
      <c r="FK39" s="131"/>
      <c r="FL39" s="131"/>
      <c r="FM39" s="131"/>
      <c r="FN39" s="131"/>
      <c r="FO39" s="131"/>
      <c r="FP39" s="131"/>
      <c r="FQ39" s="131"/>
      <c r="FR39" s="131"/>
      <c r="FS39" s="131"/>
      <c r="FT39" s="131"/>
      <c r="FU39" s="131"/>
      <c r="FV39" s="131"/>
      <c r="FW39" s="131"/>
      <c r="FX39" s="131"/>
      <c r="FY39" s="131"/>
      <c r="FZ39" s="131"/>
      <c r="GA39" s="131"/>
      <c r="GB39" s="131"/>
      <c r="GC39" s="131"/>
      <c r="GD39" s="131"/>
      <c r="GE39" s="131"/>
      <c r="GF39" s="131"/>
      <c r="GG39" s="131"/>
      <c r="GH39" s="131"/>
      <c r="GI39" s="131"/>
      <c r="GJ39" s="131"/>
      <c r="GK39" s="131"/>
      <c r="GL39" s="131"/>
      <c r="GM39" s="131"/>
      <c r="GN39" s="131"/>
      <c r="GO39" s="131"/>
      <c r="GP39" s="131"/>
      <c r="GQ39" s="131"/>
      <c r="GR39" s="131"/>
      <c r="GS39" s="131"/>
      <c r="GT39" s="131"/>
      <c r="GU39" s="131"/>
      <c r="GV39" s="131"/>
      <c r="GW39" s="131"/>
      <c r="GX39" s="131"/>
      <c r="GY39" s="131"/>
      <c r="GZ39" s="131"/>
      <c r="HA39" s="131"/>
      <c r="HB39" s="131"/>
      <c r="HC39" s="131"/>
      <c r="HD39" s="131"/>
      <c r="HE39" s="131"/>
      <c r="HF39" s="131"/>
      <c r="HG39" s="131"/>
      <c r="HH39" s="131"/>
      <c r="HI39" s="131"/>
      <c r="HJ39" s="131"/>
      <c r="HK39" s="131"/>
      <c r="HL39" s="131"/>
      <c r="HM39" s="131"/>
      <c r="HN39" s="131"/>
      <c r="HO39" s="131"/>
      <c r="HP39" s="131"/>
      <c r="HQ39" s="131"/>
      <c r="HR39" s="131"/>
      <c r="HS39" s="131"/>
      <c r="HT39" s="131"/>
      <c r="HU39" s="131"/>
      <c r="HV39" s="131"/>
      <c r="HW39" s="131"/>
      <c r="HX39" s="131"/>
      <c r="HY39" s="131"/>
      <c r="HZ39" s="131"/>
      <c r="IA39" s="131"/>
      <c r="IB39" s="131"/>
      <c r="IC39" s="131"/>
      <c r="ID39" s="131"/>
      <c r="IE39" s="131"/>
      <c r="IF39" s="131"/>
      <c r="IG39" s="131"/>
      <c r="IH39" s="131"/>
      <c r="II39" s="131"/>
      <c r="IJ39" s="131"/>
      <c r="IK39" s="131"/>
      <c r="IL39" s="131"/>
      <c r="IM39" s="131"/>
      <c r="IN39" s="131"/>
      <c r="IO39" s="131"/>
      <c r="IP39" s="131"/>
      <c r="IQ39" s="131"/>
      <c r="IR39" s="131"/>
      <c r="IS39" s="131"/>
      <c r="IT39" s="131"/>
      <c r="IU39" s="131"/>
      <c r="IV39" s="131"/>
      <c r="IW39" s="131"/>
      <c r="IX39" s="131"/>
      <c r="IY39" s="131"/>
      <c r="IZ39" s="131"/>
      <c r="JA39" s="131"/>
      <c r="JB39" s="131"/>
      <c r="JC39" s="131"/>
      <c r="JD39" s="131"/>
      <c r="JE39" s="131"/>
      <c r="JF39" s="131"/>
      <c r="JG39" s="131"/>
      <c r="JH39" s="131"/>
      <c r="JI39" s="131"/>
      <c r="JJ39" s="131"/>
      <c r="JK39" s="131"/>
      <c r="JL39" s="131"/>
      <c r="JM39" s="131"/>
      <c r="JN39" s="131"/>
      <c r="JO39" s="131"/>
      <c r="JP39" s="131"/>
      <c r="JQ39" s="131"/>
      <c r="JR39" s="131"/>
      <c r="JS39" s="131"/>
      <c r="JT39" s="131"/>
      <c r="JU39" s="131"/>
      <c r="JV39" s="131"/>
      <c r="JW39" s="131"/>
      <c r="JX39" s="131"/>
      <c r="JY39" s="131"/>
      <c r="JZ39" s="131"/>
      <c r="KA39" s="131"/>
      <c r="KB39" s="131"/>
      <c r="KC39" s="131"/>
      <c r="KD39" s="131"/>
      <c r="KE39" s="131"/>
      <c r="KF39" s="131"/>
      <c r="KG39" s="131"/>
      <c r="KH39" s="131"/>
      <c r="KI39" s="131"/>
      <c r="KJ39" s="131"/>
      <c r="KK39" s="131"/>
      <c r="KL39" s="131"/>
      <c r="KM39" s="131"/>
      <c r="KN39" s="131"/>
      <c r="KO39" s="131"/>
      <c r="KP39" s="131"/>
      <c r="KQ39" s="131"/>
      <c r="KR39" s="131"/>
      <c r="KS39" s="131"/>
      <c r="KT39" s="131"/>
      <c r="KU39" s="131"/>
      <c r="KV39" s="131"/>
      <c r="KW39" s="131"/>
      <c r="KX39" s="131"/>
      <c r="KY39" s="131"/>
      <c r="KZ39" s="131"/>
      <c r="LA39" s="131"/>
      <c r="LB39" s="131"/>
      <c r="LC39" s="131"/>
      <c r="LD39" s="131"/>
      <c r="LE39" s="131"/>
      <c r="LF39" s="131"/>
      <c r="LG39" s="131"/>
      <c r="LH39" s="131"/>
      <c r="LI39" s="131"/>
      <c r="LJ39" s="131"/>
      <c r="LK39" s="131"/>
      <c r="LL39" s="131"/>
      <c r="LM39" s="131"/>
      <c r="LN39" s="131"/>
      <c r="LO39" s="131"/>
      <c r="LP39" s="131"/>
      <c r="LQ39" s="131"/>
      <c r="LR39" s="131"/>
      <c r="LS39" s="131"/>
      <c r="LT39" s="131"/>
      <c r="LU39" s="131"/>
      <c r="LV39" s="131"/>
      <c r="LW39" s="131"/>
      <c r="LX39" s="131"/>
      <c r="LY39" s="131"/>
      <c r="LZ39" s="131"/>
      <c r="MA39" s="131"/>
      <c r="MB39" s="131"/>
      <c r="MC39" s="131"/>
      <c r="MD39" s="131"/>
      <c r="ME39" s="131"/>
      <c r="MF39" s="131"/>
      <c r="MG39" s="131"/>
      <c r="MH39" s="131"/>
      <c r="MI39" s="131"/>
      <c r="MJ39" s="131"/>
      <c r="MK39" s="131"/>
      <c r="ML39" s="131"/>
      <c r="MM39" s="131"/>
      <c r="MN39" s="131"/>
      <c r="MO39" s="131"/>
      <c r="MP39" s="131"/>
      <c r="MQ39" s="131"/>
      <c r="MR39" s="131"/>
      <c r="MS39" s="131"/>
      <c r="MT39" s="131"/>
      <c r="MU39" s="131"/>
      <c r="MV39" s="131"/>
      <c r="MW39" s="131"/>
      <c r="MX39" s="131"/>
      <c r="MY39" s="131"/>
      <c r="MZ39" s="131"/>
      <c r="NA39" s="131"/>
      <c r="NB39" s="131"/>
      <c r="NC39" s="131"/>
      <c r="ND39" s="131"/>
      <c r="NE39" s="131"/>
      <c r="NF39" s="131"/>
      <c r="NG39" s="131"/>
      <c r="NH39" s="131"/>
      <c r="NI39" s="131"/>
      <c r="NJ39" s="131"/>
      <c r="NK39" s="131"/>
      <c r="NL39" s="131"/>
      <c r="NM39" s="131"/>
      <c r="NN39" s="131"/>
      <c r="NO39" s="131"/>
      <c r="NP39" s="131"/>
      <c r="NQ39" s="131"/>
      <c r="NR39" s="131"/>
      <c r="NS39" s="131"/>
      <c r="NT39" s="131"/>
      <c r="NU39" s="131"/>
      <c r="NV39" s="131"/>
      <c r="NW39" s="131"/>
      <c r="NX39" s="131"/>
      <c r="NY39" s="131"/>
      <c r="NZ39" s="131"/>
      <c r="OA39" s="131"/>
      <c r="OB39" s="131"/>
      <c r="OC39" s="131"/>
      <c r="OD39" s="131"/>
      <c r="OE39" s="131"/>
      <c r="OF39" s="131"/>
      <c r="OG39" s="131"/>
      <c r="OH39" s="132"/>
    </row>
    <row r="40" spans="1:398" x14ac:dyDescent="0.35">
      <c r="A40" s="102"/>
      <c r="B40" s="168">
        <f t="shared" si="8"/>
        <v>12</v>
      </c>
      <c r="C40" s="171" t="s">
        <v>903</v>
      </c>
      <c r="D40" s="124" t="s">
        <v>904</v>
      </c>
      <c r="E40" s="124" t="s">
        <v>905</v>
      </c>
      <c r="F40" s="125" t="s">
        <v>907</v>
      </c>
      <c r="G40" s="125" t="s">
        <v>743</v>
      </c>
      <c r="H40" s="125"/>
      <c r="I40" s="129">
        <v>0</v>
      </c>
      <c r="J40" s="129">
        <v>0</v>
      </c>
      <c r="K40" s="129">
        <v>0</v>
      </c>
      <c r="L40" s="129">
        <v>0</v>
      </c>
      <c r="M40" s="129">
        <v>0</v>
      </c>
      <c r="N40" s="129">
        <v>0</v>
      </c>
      <c r="O40" s="130">
        <f t="shared" si="10"/>
        <v>0</v>
      </c>
      <c r="P40" s="129">
        <v>0</v>
      </c>
      <c r="Q40" s="129">
        <v>0</v>
      </c>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131"/>
      <c r="BU40" s="131"/>
      <c r="BV40" s="131"/>
      <c r="BW40" s="131"/>
      <c r="BX40" s="131"/>
      <c r="BY40" s="131"/>
      <c r="BZ40" s="131"/>
      <c r="CA40" s="131"/>
      <c r="CB40" s="131"/>
      <c r="CC40" s="131"/>
      <c r="CD40" s="131"/>
      <c r="CE40" s="131"/>
      <c r="CF40" s="131"/>
      <c r="CG40" s="131"/>
      <c r="CH40" s="131"/>
      <c r="CI40" s="131"/>
      <c r="CJ40" s="131"/>
      <c r="CK40" s="131"/>
      <c r="CL40" s="131"/>
      <c r="CM40" s="131"/>
      <c r="CN40" s="131"/>
      <c r="CO40" s="131"/>
      <c r="CP40" s="131"/>
      <c r="CQ40" s="131"/>
      <c r="CR40" s="131"/>
      <c r="CS40" s="131"/>
      <c r="CT40" s="131"/>
      <c r="CU40" s="131"/>
      <c r="CV40" s="131"/>
      <c r="CW40" s="131"/>
      <c r="CX40" s="131"/>
      <c r="CY40" s="131"/>
      <c r="CZ40" s="131"/>
      <c r="DA40" s="131"/>
      <c r="DB40" s="131"/>
      <c r="DC40" s="131"/>
      <c r="DD40" s="131"/>
      <c r="DE40" s="131"/>
      <c r="DF40" s="131"/>
      <c r="DG40" s="131"/>
      <c r="DH40" s="131"/>
      <c r="DI40" s="131"/>
      <c r="DJ40" s="131"/>
      <c r="DK40" s="131"/>
      <c r="DL40" s="131"/>
      <c r="DM40" s="131"/>
      <c r="DN40" s="131"/>
      <c r="DO40" s="131"/>
      <c r="DP40" s="131"/>
      <c r="DQ40" s="131"/>
      <c r="DR40" s="131"/>
      <c r="DS40" s="131"/>
      <c r="DT40" s="131"/>
      <c r="DU40" s="131"/>
      <c r="DV40" s="131"/>
      <c r="DW40" s="131"/>
      <c r="DX40" s="131"/>
      <c r="DY40" s="131"/>
      <c r="DZ40" s="131"/>
      <c r="EA40" s="131"/>
      <c r="EB40" s="131"/>
      <c r="EC40" s="131"/>
      <c r="ED40" s="131"/>
      <c r="EE40" s="131"/>
      <c r="EF40" s="131"/>
      <c r="EG40" s="131"/>
      <c r="EH40" s="131"/>
      <c r="EI40" s="131"/>
      <c r="EJ40" s="131"/>
      <c r="EK40" s="131"/>
      <c r="EL40" s="131"/>
      <c r="EM40" s="131"/>
      <c r="EN40" s="131"/>
      <c r="EO40" s="131"/>
      <c r="EP40" s="131"/>
      <c r="EQ40" s="131"/>
      <c r="ER40" s="131"/>
      <c r="ES40" s="131"/>
      <c r="ET40" s="131"/>
      <c r="EU40" s="131"/>
      <c r="EV40" s="131"/>
      <c r="EW40" s="131"/>
      <c r="EX40" s="131"/>
      <c r="EY40" s="131"/>
      <c r="EZ40" s="131"/>
      <c r="FA40" s="131"/>
      <c r="FB40" s="131"/>
      <c r="FC40" s="131"/>
      <c r="FD40" s="131"/>
      <c r="FE40" s="131"/>
      <c r="FF40" s="131"/>
      <c r="FG40" s="131"/>
      <c r="FH40" s="131"/>
      <c r="FI40" s="131"/>
      <c r="FJ40" s="131"/>
      <c r="FK40" s="131"/>
      <c r="FL40" s="131"/>
      <c r="FM40" s="131"/>
      <c r="FN40" s="131"/>
      <c r="FO40" s="131"/>
      <c r="FP40" s="131"/>
      <c r="FQ40" s="131"/>
      <c r="FR40" s="131"/>
      <c r="FS40" s="131"/>
      <c r="FT40" s="131"/>
      <c r="FU40" s="131"/>
      <c r="FV40" s="131"/>
      <c r="FW40" s="131"/>
      <c r="FX40" s="131"/>
      <c r="FY40" s="131"/>
      <c r="FZ40" s="131"/>
      <c r="GA40" s="131"/>
      <c r="GB40" s="131"/>
      <c r="GC40" s="131"/>
      <c r="GD40" s="131"/>
      <c r="GE40" s="131"/>
      <c r="GF40" s="131"/>
      <c r="GG40" s="131"/>
      <c r="GH40" s="131"/>
      <c r="GI40" s="131"/>
      <c r="GJ40" s="131"/>
      <c r="GK40" s="131"/>
      <c r="GL40" s="131"/>
      <c r="GM40" s="131"/>
      <c r="GN40" s="131"/>
      <c r="GO40" s="131"/>
      <c r="GP40" s="131"/>
      <c r="GQ40" s="131"/>
      <c r="GR40" s="131"/>
      <c r="GS40" s="131"/>
      <c r="GT40" s="131"/>
      <c r="GU40" s="131"/>
      <c r="GV40" s="131"/>
      <c r="GW40" s="131"/>
      <c r="GX40" s="131"/>
      <c r="GY40" s="131"/>
      <c r="GZ40" s="131"/>
      <c r="HA40" s="131"/>
      <c r="HB40" s="131"/>
      <c r="HC40" s="131"/>
      <c r="HD40" s="131"/>
      <c r="HE40" s="131"/>
      <c r="HF40" s="131"/>
      <c r="HG40" s="131"/>
      <c r="HH40" s="131"/>
      <c r="HI40" s="131"/>
      <c r="HJ40" s="131"/>
      <c r="HK40" s="131"/>
      <c r="HL40" s="131"/>
      <c r="HM40" s="131"/>
      <c r="HN40" s="131"/>
      <c r="HO40" s="131"/>
      <c r="HP40" s="131"/>
      <c r="HQ40" s="131"/>
      <c r="HR40" s="131"/>
      <c r="HS40" s="131"/>
      <c r="HT40" s="131"/>
      <c r="HU40" s="131"/>
      <c r="HV40" s="131"/>
      <c r="HW40" s="131"/>
      <c r="HX40" s="131"/>
      <c r="HY40" s="131"/>
      <c r="HZ40" s="131"/>
      <c r="IA40" s="131"/>
      <c r="IB40" s="131"/>
      <c r="IC40" s="131"/>
      <c r="ID40" s="131"/>
      <c r="IE40" s="131"/>
      <c r="IF40" s="131"/>
      <c r="IG40" s="131"/>
      <c r="IH40" s="131"/>
      <c r="II40" s="131"/>
      <c r="IJ40" s="131"/>
      <c r="IK40" s="131"/>
      <c r="IL40" s="131"/>
      <c r="IM40" s="131"/>
      <c r="IN40" s="131"/>
      <c r="IO40" s="131"/>
      <c r="IP40" s="131"/>
      <c r="IQ40" s="131"/>
      <c r="IR40" s="131"/>
      <c r="IS40" s="131"/>
      <c r="IT40" s="131"/>
      <c r="IU40" s="131"/>
      <c r="IV40" s="131"/>
      <c r="IW40" s="131"/>
      <c r="IX40" s="131"/>
      <c r="IY40" s="131"/>
      <c r="IZ40" s="131"/>
      <c r="JA40" s="131"/>
      <c r="JB40" s="131"/>
      <c r="JC40" s="131"/>
      <c r="JD40" s="131"/>
      <c r="JE40" s="131"/>
      <c r="JF40" s="131"/>
      <c r="JG40" s="131"/>
      <c r="JH40" s="131"/>
      <c r="JI40" s="131"/>
      <c r="JJ40" s="131"/>
      <c r="JK40" s="131"/>
      <c r="JL40" s="131"/>
      <c r="JM40" s="131"/>
      <c r="JN40" s="131"/>
      <c r="JO40" s="131"/>
      <c r="JP40" s="131"/>
      <c r="JQ40" s="131"/>
      <c r="JR40" s="131"/>
      <c r="JS40" s="131"/>
      <c r="JT40" s="131"/>
      <c r="JU40" s="131"/>
      <c r="JV40" s="131"/>
      <c r="JW40" s="131"/>
      <c r="JX40" s="131"/>
      <c r="JY40" s="131"/>
      <c r="JZ40" s="131"/>
      <c r="KA40" s="131"/>
      <c r="KB40" s="131"/>
      <c r="KC40" s="131"/>
      <c r="KD40" s="131"/>
      <c r="KE40" s="131"/>
      <c r="KF40" s="131"/>
      <c r="KG40" s="131"/>
      <c r="KH40" s="131"/>
      <c r="KI40" s="131"/>
      <c r="KJ40" s="131"/>
      <c r="KK40" s="131"/>
      <c r="KL40" s="131"/>
      <c r="KM40" s="131"/>
      <c r="KN40" s="131"/>
      <c r="KO40" s="131"/>
      <c r="KP40" s="131"/>
      <c r="KQ40" s="131"/>
      <c r="KR40" s="131"/>
      <c r="KS40" s="131"/>
      <c r="KT40" s="131"/>
      <c r="KU40" s="131"/>
      <c r="KV40" s="131"/>
      <c r="KW40" s="131"/>
      <c r="KX40" s="131"/>
      <c r="KY40" s="131"/>
      <c r="KZ40" s="131"/>
      <c r="LA40" s="131"/>
      <c r="LB40" s="131"/>
      <c r="LC40" s="131"/>
      <c r="LD40" s="131"/>
      <c r="LE40" s="131"/>
      <c r="LF40" s="131"/>
      <c r="LG40" s="131"/>
      <c r="LH40" s="131"/>
      <c r="LI40" s="131"/>
      <c r="LJ40" s="131"/>
      <c r="LK40" s="131"/>
      <c r="LL40" s="131"/>
      <c r="LM40" s="131"/>
      <c r="LN40" s="131"/>
      <c r="LO40" s="131"/>
      <c r="LP40" s="131"/>
      <c r="LQ40" s="131"/>
      <c r="LR40" s="131"/>
      <c r="LS40" s="131"/>
      <c r="LT40" s="131"/>
      <c r="LU40" s="131"/>
      <c r="LV40" s="131"/>
      <c r="LW40" s="131"/>
      <c r="LX40" s="131"/>
      <c r="LY40" s="131"/>
      <c r="LZ40" s="131"/>
      <c r="MA40" s="131"/>
      <c r="MB40" s="131"/>
      <c r="MC40" s="131"/>
      <c r="MD40" s="131"/>
      <c r="ME40" s="131"/>
      <c r="MF40" s="131"/>
      <c r="MG40" s="131"/>
      <c r="MH40" s="131"/>
      <c r="MI40" s="131"/>
      <c r="MJ40" s="131"/>
      <c r="MK40" s="131"/>
      <c r="ML40" s="131"/>
      <c r="MM40" s="131"/>
      <c r="MN40" s="131"/>
      <c r="MO40" s="131"/>
      <c r="MP40" s="131"/>
      <c r="MQ40" s="131"/>
      <c r="MR40" s="131"/>
      <c r="MS40" s="131"/>
      <c r="MT40" s="131"/>
      <c r="MU40" s="131"/>
      <c r="MV40" s="131"/>
      <c r="MW40" s="131"/>
      <c r="MX40" s="131"/>
      <c r="MY40" s="131"/>
      <c r="MZ40" s="131"/>
      <c r="NA40" s="131"/>
      <c r="NB40" s="131"/>
      <c r="NC40" s="131"/>
      <c r="ND40" s="131"/>
      <c r="NE40" s="131"/>
      <c r="NF40" s="131"/>
      <c r="NG40" s="131"/>
      <c r="NH40" s="131"/>
      <c r="NI40" s="131"/>
      <c r="NJ40" s="131"/>
      <c r="NK40" s="131"/>
      <c r="NL40" s="131"/>
      <c r="NM40" s="131"/>
      <c r="NN40" s="131"/>
      <c r="NO40" s="131"/>
      <c r="NP40" s="131"/>
      <c r="NQ40" s="131"/>
      <c r="NR40" s="131"/>
      <c r="NS40" s="131"/>
      <c r="NT40" s="131"/>
      <c r="NU40" s="131"/>
      <c r="NV40" s="131"/>
      <c r="NW40" s="131"/>
      <c r="NX40" s="131"/>
      <c r="NY40" s="131"/>
      <c r="NZ40" s="131"/>
      <c r="OA40" s="131"/>
      <c r="OB40" s="131"/>
      <c r="OC40" s="131"/>
      <c r="OD40" s="131"/>
      <c r="OE40" s="131"/>
      <c r="OF40" s="131"/>
      <c r="OG40" s="131"/>
      <c r="OH40" s="132"/>
    </row>
    <row r="41" spans="1:398" x14ac:dyDescent="0.35">
      <c r="A41" s="102"/>
      <c r="B41" s="168">
        <f t="shared" si="8"/>
        <v>13</v>
      </c>
      <c r="C41" s="171" t="s">
        <v>903</v>
      </c>
      <c r="D41" s="124" t="s">
        <v>904</v>
      </c>
      <c r="E41" s="124" t="s">
        <v>905</v>
      </c>
      <c r="F41" s="125" t="s">
        <v>907</v>
      </c>
      <c r="G41" s="125" t="s">
        <v>202</v>
      </c>
      <c r="H41" s="125"/>
      <c r="I41" s="129">
        <v>0</v>
      </c>
      <c r="J41" s="129">
        <v>0</v>
      </c>
      <c r="K41" s="129">
        <v>0</v>
      </c>
      <c r="L41" s="129">
        <v>0</v>
      </c>
      <c r="M41" s="129">
        <v>0</v>
      </c>
      <c r="N41" s="129">
        <v>0</v>
      </c>
      <c r="O41" s="130">
        <f t="shared" si="10"/>
        <v>0</v>
      </c>
      <c r="P41" s="129">
        <v>0</v>
      </c>
      <c r="Q41" s="129">
        <v>0</v>
      </c>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1"/>
      <c r="BQ41" s="131"/>
      <c r="BR41" s="131"/>
      <c r="BS41" s="131"/>
      <c r="BT41" s="131"/>
      <c r="BU41" s="131"/>
      <c r="BV41" s="131"/>
      <c r="BW41" s="131"/>
      <c r="BX41" s="131"/>
      <c r="BY41" s="131"/>
      <c r="BZ41" s="131"/>
      <c r="CA41" s="131"/>
      <c r="CB41" s="131"/>
      <c r="CC41" s="131"/>
      <c r="CD41" s="131"/>
      <c r="CE41" s="131"/>
      <c r="CF41" s="131"/>
      <c r="CG41" s="131"/>
      <c r="CH41" s="131"/>
      <c r="CI41" s="131"/>
      <c r="CJ41" s="131"/>
      <c r="CK41" s="131"/>
      <c r="CL41" s="131"/>
      <c r="CM41" s="131"/>
      <c r="CN41" s="131"/>
      <c r="CO41" s="131"/>
      <c r="CP41" s="131"/>
      <c r="CQ41" s="131"/>
      <c r="CR41" s="131"/>
      <c r="CS41" s="131"/>
      <c r="CT41" s="131"/>
      <c r="CU41" s="131"/>
      <c r="CV41" s="131"/>
      <c r="CW41" s="131"/>
      <c r="CX41" s="131"/>
      <c r="CY41" s="131"/>
      <c r="CZ41" s="131"/>
      <c r="DA41" s="131"/>
      <c r="DB41" s="131"/>
      <c r="DC41" s="131"/>
      <c r="DD41" s="131"/>
      <c r="DE41" s="131"/>
      <c r="DF41" s="131"/>
      <c r="DG41" s="131"/>
      <c r="DH41" s="131"/>
      <c r="DI41" s="131"/>
      <c r="DJ41" s="131"/>
      <c r="DK41" s="131"/>
      <c r="DL41" s="131"/>
      <c r="DM41" s="131"/>
      <c r="DN41" s="131"/>
      <c r="DO41" s="131"/>
      <c r="DP41" s="131"/>
      <c r="DQ41" s="131"/>
      <c r="DR41" s="131"/>
      <c r="DS41" s="131"/>
      <c r="DT41" s="131"/>
      <c r="DU41" s="131"/>
      <c r="DV41" s="131"/>
      <c r="DW41" s="131"/>
      <c r="DX41" s="131"/>
      <c r="DY41" s="131"/>
      <c r="DZ41" s="131"/>
      <c r="EA41" s="131"/>
      <c r="EB41" s="131"/>
      <c r="EC41" s="131"/>
      <c r="ED41" s="131"/>
      <c r="EE41" s="131"/>
      <c r="EF41" s="131"/>
      <c r="EG41" s="131"/>
      <c r="EH41" s="131"/>
      <c r="EI41" s="131"/>
      <c r="EJ41" s="131"/>
      <c r="EK41" s="131"/>
      <c r="EL41" s="131"/>
      <c r="EM41" s="131"/>
      <c r="EN41" s="131"/>
      <c r="EO41" s="131"/>
      <c r="EP41" s="131"/>
      <c r="EQ41" s="131"/>
      <c r="ER41" s="131"/>
      <c r="ES41" s="131"/>
      <c r="ET41" s="131"/>
      <c r="EU41" s="131"/>
      <c r="EV41" s="131"/>
      <c r="EW41" s="131"/>
      <c r="EX41" s="131"/>
      <c r="EY41" s="131"/>
      <c r="EZ41" s="131"/>
      <c r="FA41" s="131"/>
      <c r="FB41" s="131"/>
      <c r="FC41" s="131"/>
      <c r="FD41" s="131"/>
      <c r="FE41" s="131"/>
      <c r="FF41" s="131"/>
      <c r="FG41" s="131"/>
      <c r="FH41" s="131"/>
      <c r="FI41" s="131"/>
      <c r="FJ41" s="131"/>
      <c r="FK41" s="131"/>
      <c r="FL41" s="131"/>
      <c r="FM41" s="131"/>
      <c r="FN41" s="131"/>
      <c r="FO41" s="131"/>
      <c r="FP41" s="131"/>
      <c r="FQ41" s="131"/>
      <c r="FR41" s="131"/>
      <c r="FS41" s="131"/>
      <c r="FT41" s="131"/>
      <c r="FU41" s="131"/>
      <c r="FV41" s="131"/>
      <c r="FW41" s="131"/>
      <c r="FX41" s="131"/>
      <c r="FY41" s="131"/>
      <c r="FZ41" s="131"/>
      <c r="GA41" s="131"/>
      <c r="GB41" s="131"/>
      <c r="GC41" s="131"/>
      <c r="GD41" s="131"/>
      <c r="GE41" s="131"/>
      <c r="GF41" s="131"/>
      <c r="GG41" s="131"/>
      <c r="GH41" s="131"/>
      <c r="GI41" s="131"/>
      <c r="GJ41" s="131"/>
      <c r="GK41" s="131"/>
      <c r="GL41" s="131"/>
      <c r="GM41" s="131"/>
      <c r="GN41" s="131"/>
      <c r="GO41" s="131"/>
      <c r="GP41" s="131"/>
      <c r="GQ41" s="131"/>
      <c r="GR41" s="131"/>
      <c r="GS41" s="131"/>
      <c r="GT41" s="131"/>
      <c r="GU41" s="131"/>
      <c r="GV41" s="131"/>
      <c r="GW41" s="131"/>
      <c r="GX41" s="131"/>
      <c r="GY41" s="131"/>
      <c r="GZ41" s="131"/>
      <c r="HA41" s="131"/>
      <c r="HB41" s="131"/>
      <c r="HC41" s="131"/>
      <c r="HD41" s="131"/>
      <c r="HE41" s="131"/>
      <c r="HF41" s="131"/>
      <c r="HG41" s="131"/>
      <c r="HH41" s="131"/>
      <c r="HI41" s="131"/>
      <c r="HJ41" s="131"/>
      <c r="HK41" s="131"/>
      <c r="HL41" s="131"/>
      <c r="HM41" s="131"/>
      <c r="HN41" s="131"/>
      <c r="HO41" s="131"/>
      <c r="HP41" s="131"/>
      <c r="HQ41" s="131"/>
      <c r="HR41" s="131"/>
      <c r="HS41" s="131"/>
      <c r="HT41" s="131"/>
      <c r="HU41" s="131"/>
      <c r="HV41" s="131"/>
      <c r="HW41" s="131"/>
      <c r="HX41" s="131"/>
      <c r="HY41" s="131"/>
      <c r="HZ41" s="131"/>
      <c r="IA41" s="131"/>
      <c r="IB41" s="131"/>
      <c r="IC41" s="131"/>
      <c r="ID41" s="131"/>
      <c r="IE41" s="131"/>
      <c r="IF41" s="131"/>
      <c r="IG41" s="131"/>
      <c r="IH41" s="131"/>
      <c r="II41" s="131"/>
      <c r="IJ41" s="131"/>
      <c r="IK41" s="131"/>
      <c r="IL41" s="131"/>
      <c r="IM41" s="131"/>
      <c r="IN41" s="131"/>
      <c r="IO41" s="131"/>
      <c r="IP41" s="131"/>
      <c r="IQ41" s="131"/>
      <c r="IR41" s="131"/>
      <c r="IS41" s="131"/>
      <c r="IT41" s="131"/>
      <c r="IU41" s="131"/>
      <c r="IV41" s="131"/>
      <c r="IW41" s="131"/>
      <c r="IX41" s="131"/>
      <c r="IY41" s="131"/>
      <c r="IZ41" s="131"/>
      <c r="JA41" s="131"/>
      <c r="JB41" s="131"/>
      <c r="JC41" s="131"/>
      <c r="JD41" s="131"/>
      <c r="JE41" s="131"/>
      <c r="JF41" s="131"/>
      <c r="JG41" s="131"/>
      <c r="JH41" s="131"/>
      <c r="JI41" s="131"/>
      <c r="JJ41" s="131"/>
      <c r="JK41" s="131"/>
      <c r="JL41" s="131"/>
      <c r="JM41" s="131"/>
      <c r="JN41" s="131"/>
      <c r="JO41" s="131"/>
      <c r="JP41" s="131"/>
      <c r="JQ41" s="131"/>
      <c r="JR41" s="131"/>
      <c r="JS41" s="131"/>
      <c r="JT41" s="131"/>
      <c r="JU41" s="131"/>
      <c r="JV41" s="131"/>
      <c r="JW41" s="131"/>
      <c r="JX41" s="131"/>
      <c r="JY41" s="131"/>
      <c r="JZ41" s="131"/>
      <c r="KA41" s="131"/>
      <c r="KB41" s="131"/>
      <c r="KC41" s="131"/>
      <c r="KD41" s="131"/>
      <c r="KE41" s="131"/>
      <c r="KF41" s="131"/>
      <c r="KG41" s="131"/>
      <c r="KH41" s="131"/>
      <c r="KI41" s="131"/>
      <c r="KJ41" s="131"/>
      <c r="KK41" s="131"/>
      <c r="KL41" s="131"/>
      <c r="KM41" s="131"/>
      <c r="KN41" s="131"/>
      <c r="KO41" s="131"/>
      <c r="KP41" s="131"/>
      <c r="KQ41" s="131"/>
      <c r="KR41" s="131"/>
      <c r="KS41" s="131"/>
      <c r="KT41" s="131"/>
      <c r="KU41" s="131"/>
      <c r="KV41" s="131"/>
      <c r="KW41" s="131"/>
      <c r="KX41" s="131"/>
      <c r="KY41" s="131"/>
      <c r="KZ41" s="131"/>
      <c r="LA41" s="131"/>
      <c r="LB41" s="131"/>
      <c r="LC41" s="131"/>
      <c r="LD41" s="131"/>
      <c r="LE41" s="131"/>
      <c r="LF41" s="131"/>
      <c r="LG41" s="131"/>
      <c r="LH41" s="131"/>
      <c r="LI41" s="131"/>
      <c r="LJ41" s="131"/>
      <c r="LK41" s="131"/>
      <c r="LL41" s="131"/>
      <c r="LM41" s="131"/>
      <c r="LN41" s="131"/>
      <c r="LO41" s="131"/>
      <c r="LP41" s="131"/>
      <c r="LQ41" s="131"/>
      <c r="LR41" s="131"/>
      <c r="LS41" s="131"/>
      <c r="LT41" s="131"/>
      <c r="LU41" s="131"/>
      <c r="LV41" s="131"/>
      <c r="LW41" s="131"/>
      <c r="LX41" s="131"/>
      <c r="LY41" s="131"/>
      <c r="LZ41" s="131"/>
      <c r="MA41" s="131"/>
      <c r="MB41" s="131"/>
      <c r="MC41" s="131"/>
      <c r="MD41" s="131"/>
      <c r="ME41" s="131"/>
      <c r="MF41" s="131"/>
      <c r="MG41" s="131"/>
      <c r="MH41" s="131"/>
      <c r="MI41" s="131"/>
      <c r="MJ41" s="131"/>
      <c r="MK41" s="131"/>
      <c r="ML41" s="131"/>
      <c r="MM41" s="131"/>
      <c r="MN41" s="131"/>
      <c r="MO41" s="131"/>
      <c r="MP41" s="131"/>
      <c r="MQ41" s="131"/>
      <c r="MR41" s="131"/>
      <c r="MS41" s="131"/>
      <c r="MT41" s="131"/>
      <c r="MU41" s="131"/>
      <c r="MV41" s="131"/>
      <c r="MW41" s="131"/>
      <c r="MX41" s="131"/>
      <c r="MY41" s="131"/>
      <c r="MZ41" s="131"/>
      <c r="NA41" s="131"/>
      <c r="NB41" s="131"/>
      <c r="NC41" s="131"/>
      <c r="ND41" s="131"/>
      <c r="NE41" s="131"/>
      <c r="NF41" s="131"/>
      <c r="NG41" s="131"/>
      <c r="NH41" s="131"/>
      <c r="NI41" s="131"/>
      <c r="NJ41" s="131"/>
      <c r="NK41" s="131"/>
      <c r="NL41" s="131"/>
      <c r="NM41" s="131"/>
      <c r="NN41" s="131"/>
      <c r="NO41" s="131"/>
      <c r="NP41" s="131"/>
      <c r="NQ41" s="131"/>
      <c r="NR41" s="131"/>
      <c r="NS41" s="131"/>
      <c r="NT41" s="131"/>
      <c r="NU41" s="131"/>
      <c r="NV41" s="131"/>
      <c r="NW41" s="131"/>
      <c r="NX41" s="131"/>
      <c r="NY41" s="131"/>
      <c r="NZ41" s="131"/>
      <c r="OA41" s="131"/>
      <c r="OB41" s="131"/>
      <c r="OC41" s="131"/>
      <c r="OD41" s="131"/>
      <c r="OE41" s="131"/>
      <c r="OF41" s="131"/>
      <c r="OG41" s="131"/>
      <c r="OH41" s="132"/>
    </row>
    <row r="42" spans="1:398" x14ac:dyDescent="0.35">
      <c r="A42" s="102"/>
      <c r="B42" s="168">
        <f t="shared" si="8"/>
        <v>14</v>
      </c>
      <c r="C42" s="171" t="s">
        <v>903</v>
      </c>
      <c r="D42" s="124" t="s">
        <v>904</v>
      </c>
      <c r="E42" s="124" t="s">
        <v>905</v>
      </c>
      <c r="F42" s="125" t="s">
        <v>907</v>
      </c>
      <c r="G42" s="125" t="s">
        <v>738</v>
      </c>
      <c r="H42" s="125"/>
      <c r="I42" s="130">
        <f>SUM(I36:I41)</f>
        <v>0</v>
      </c>
      <c r="J42" s="130">
        <f>SUM(J36:J41)</f>
        <v>0</v>
      </c>
      <c r="K42" s="130">
        <f t="shared" ref="K42:Q42" si="11">SUM(K36:K41)</f>
        <v>0</v>
      </c>
      <c r="L42" s="130">
        <f t="shared" si="11"/>
        <v>0</v>
      </c>
      <c r="M42" s="130">
        <f t="shared" si="11"/>
        <v>0</v>
      </c>
      <c r="N42" s="130">
        <f t="shared" si="11"/>
        <v>0</v>
      </c>
      <c r="O42" s="130">
        <f t="shared" si="11"/>
        <v>0</v>
      </c>
      <c r="P42" s="130">
        <f t="shared" si="11"/>
        <v>0</v>
      </c>
      <c r="Q42" s="130">
        <f t="shared" si="11"/>
        <v>0</v>
      </c>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c r="BM42" s="131"/>
      <c r="BN42" s="131"/>
      <c r="BO42" s="131"/>
      <c r="BP42" s="131"/>
      <c r="BQ42" s="131"/>
      <c r="BR42" s="131"/>
      <c r="BS42" s="131"/>
      <c r="BT42" s="131"/>
      <c r="BU42" s="131"/>
      <c r="BV42" s="131"/>
      <c r="BW42" s="131"/>
      <c r="BX42" s="131"/>
      <c r="BY42" s="131"/>
      <c r="BZ42" s="131"/>
      <c r="CA42" s="131"/>
      <c r="CB42" s="131"/>
      <c r="CC42" s="131"/>
      <c r="CD42" s="131"/>
      <c r="CE42" s="131"/>
      <c r="CF42" s="131"/>
      <c r="CG42" s="131"/>
      <c r="CH42" s="131"/>
      <c r="CI42" s="131"/>
      <c r="CJ42" s="131"/>
      <c r="CK42" s="131"/>
      <c r="CL42" s="131"/>
      <c r="CM42" s="131"/>
      <c r="CN42" s="131"/>
      <c r="CO42" s="131"/>
      <c r="CP42" s="131"/>
      <c r="CQ42" s="131"/>
      <c r="CR42" s="131"/>
      <c r="CS42" s="131"/>
      <c r="CT42" s="131"/>
      <c r="CU42" s="131"/>
      <c r="CV42" s="131"/>
      <c r="CW42" s="131"/>
      <c r="CX42" s="131"/>
      <c r="CY42" s="131"/>
      <c r="CZ42" s="131"/>
      <c r="DA42" s="131"/>
      <c r="DB42" s="131"/>
      <c r="DC42" s="131"/>
      <c r="DD42" s="131"/>
      <c r="DE42" s="131"/>
      <c r="DF42" s="131"/>
      <c r="DG42" s="131"/>
      <c r="DH42" s="131"/>
      <c r="DI42" s="131"/>
      <c r="DJ42" s="131"/>
      <c r="DK42" s="131"/>
      <c r="DL42" s="131"/>
      <c r="DM42" s="131"/>
      <c r="DN42" s="131"/>
      <c r="DO42" s="131"/>
      <c r="DP42" s="131"/>
      <c r="DQ42" s="131"/>
      <c r="DR42" s="131"/>
      <c r="DS42" s="131"/>
      <c r="DT42" s="131"/>
      <c r="DU42" s="131"/>
      <c r="DV42" s="131"/>
      <c r="DW42" s="131"/>
      <c r="DX42" s="131"/>
      <c r="DY42" s="131"/>
      <c r="DZ42" s="131"/>
      <c r="EA42" s="131"/>
      <c r="EB42" s="131"/>
      <c r="EC42" s="131"/>
      <c r="ED42" s="131"/>
      <c r="EE42" s="131"/>
      <c r="EF42" s="131"/>
      <c r="EG42" s="131"/>
      <c r="EH42" s="131"/>
      <c r="EI42" s="131"/>
      <c r="EJ42" s="131"/>
      <c r="EK42" s="131"/>
      <c r="EL42" s="131"/>
      <c r="EM42" s="131"/>
      <c r="EN42" s="131"/>
      <c r="EO42" s="131"/>
      <c r="EP42" s="131"/>
      <c r="EQ42" s="131"/>
      <c r="ER42" s="131"/>
      <c r="ES42" s="131"/>
      <c r="ET42" s="131"/>
      <c r="EU42" s="131"/>
      <c r="EV42" s="131"/>
      <c r="EW42" s="131"/>
      <c r="EX42" s="131"/>
      <c r="EY42" s="131"/>
      <c r="EZ42" s="131"/>
      <c r="FA42" s="131"/>
      <c r="FB42" s="131"/>
      <c r="FC42" s="131"/>
      <c r="FD42" s="131"/>
      <c r="FE42" s="131"/>
      <c r="FF42" s="131"/>
      <c r="FG42" s="131"/>
      <c r="FH42" s="131"/>
      <c r="FI42" s="131"/>
      <c r="FJ42" s="131"/>
      <c r="FK42" s="131"/>
      <c r="FL42" s="131"/>
      <c r="FM42" s="131"/>
      <c r="FN42" s="131"/>
      <c r="FO42" s="131"/>
      <c r="FP42" s="131"/>
      <c r="FQ42" s="131"/>
      <c r="FR42" s="131"/>
      <c r="FS42" s="131"/>
      <c r="FT42" s="131"/>
      <c r="FU42" s="131"/>
      <c r="FV42" s="131"/>
      <c r="FW42" s="131"/>
      <c r="FX42" s="131"/>
      <c r="FY42" s="131"/>
      <c r="FZ42" s="131"/>
      <c r="GA42" s="131"/>
      <c r="GB42" s="131"/>
      <c r="GC42" s="131"/>
      <c r="GD42" s="131"/>
      <c r="GE42" s="131"/>
      <c r="GF42" s="131"/>
      <c r="GG42" s="131"/>
      <c r="GH42" s="131"/>
      <c r="GI42" s="131"/>
      <c r="GJ42" s="131"/>
      <c r="GK42" s="131"/>
      <c r="GL42" s="131"/>
      <c r="GM42" s="131"/>
      <c r="GN42" s="131"/>
      <c r="GO42" s="131"/>
      <c r="GP42" s="131"/>
      <c r="GQ42" s="131"/>
      <c r="GR42" s="131"/>
      <c r="GS42" s="131"/>
      <c r="GT42" s="131"/>
      <c r="GU42" s="131"/>
      <c r="GV42" s="131"/>
      <c r="GW42" s="131"/>
      <c r="GX42" s="131"/>
      <c r="GY42" s="131"/>
      <c r="GZ42" s="131"/>
      <c r="HA42" s="131"/>
      <c r="HB42" s="131"/>
      <c r="HC42" s="131"/>
      <c r="HD42" s="131"/>
      <c r="HE42" s="131"/>
      <c r="HF42" s="131"/>
      <c r="HG42" s="131"/>
      <c r="HH42" s="131"/>
      <c r="HI42" s="131"/>
      <c r="HJ42" s="131"/>
      <c r="HK42" s="131"/>
      <c r="HL42" s="131"/>
      <c r="HM42" s="131"/>
      <c r="HN42" s="131"/>
      <c r="HO42" s="131"/>
      <c r="HP42" s="131"/>
      <c r="HQ42" s="131"/>
      <c r="HR42" s="131"/>
      <c r="HS42" s="131"/>
      <c r="HT42" s="131"/>
      <c r="HU42" s="131"/>
      <c r="HV42" s="131"/>
      <c r="HW42" s="131"/>
      <c r="HX42" s="131"/>
      <c r="HY42" s="131"/>
      <c r="HZ42" s="131"/>
      <c r="IA42" s="131"/>
      <c r="IB42" s="131"/>
      <c r="IC42" s="131"/>
      <c r="ID42" s="131"/>
      <c r="IE42" s="131"/>
      <c r="IF42" s="131"/>
      <c r="IG42" s="131"/>
      <c r="IH42" s="131"/>
      <c r="II42" s="131"/>
      <c r="IJ42" s="131"/>
      <c r="IK42" s="131"/>
      <c r="IL42" s="131"/>
      <c r="IM42" s="131"/>
      <c r="IN42" s="131"/>
      <c r="IO42" s="131"/>
      <c r="IP42" s="131"/>
      <c r="IQ42" s="131"/>
      <c r="IR42" s="131"/>
      <c r="IS42" s="131"/>
      <c r="IT42" s="131"/>
      <c r="IU42" s="131"/>
      <c r="IV42" s="131"/>
      <c r="IW42" s="131"/>
      <c r="IX42" s="131"/>
      <c r="IY42" s="131"/>
      <c r="IZ42" s="131"/>
      <c r="JA42" s="131"/>
      <c r="JB42" s="131"/>
      <c r="JC42" s="131"/>
      <c r="JD42" s="131"/>
      <c r="JE42" s="131"/>
      <c r="JF42" s="131"/>
      <c r="JG42" s="131"/>
      <c r="JH42" s="131"/>
      <c r="JI42" s="131"/>
      <c r="JJ42" s="131"/>
      <c r="JK42" s="131"/>
      <c r="JL42" s="131"/>
      <c r="JM42" s="131"/>
      <c r="JN42" s="131"/>
      <c r="JO42" s="131"/>
      <c r="JP42" s="131"/>
      <c r="JQ42" s="131"/>
      <c r="JR42" s="131"/>
      <c r="JS42" s="131"/>
      <c r="JT42" s="131"/>
      <c r="JU42" s="131"/>
      <c r="JV42" s="131"/>
      <c r="JW42" s="131"/>
      <c r="JX42" s="131"/>
      <c r="JY42" s="131"/>
      <c r="JZ42" s="131"/>
      <c r="KA42" s="131"/>
      <c r="KB42" s="131"/>
      <c r="KC42" s="131"/>
      <c r="KD42" s="131"/>
      <c r="KE42" s="131"/>
      <c r="KF42" s="131"/>
      <c r="KG42" s="131"/>
      <c r="KH42" s="131"/>
      <c r="KI42" s="131"/>
      <c r="KJ42" s="131"/>
      <c r="KK42" s="131"/>
      <c r="KL42" s="131"/>
      <c r="KM42" s="131"/>
      <c r="KN42" s="131"/>
      <c r="KO42" s="131"/>
      <c r="KP42" s="131"/>
      <c r="KQ42" s="131"/>
      <c r="KR42" s="131"/>
      <c r="KS42" s="131"/>
      <c r="KT42" s="131"/>
      <c r="KU42" s="131"/>
      <c r="KV42" s="131"/>
      <c r="KW42" s="131"/>
      <c r="KX42" s="131"/>
      <c r="KY42" s="131"/>
      <c r="KZ42" s="131"/>
      <c r="LA42" s="131"/>
      <c r="LB42" s="131"/>
      <c r="LC42" s="131"/>
      <c r="LD42" s="131"/>
      <c r="LE42" s="131"/>
      <c r="LF42" s="131"/>
      <c r="LG42" s="131"/>
      <c r="LH42" s="131"/>
      <c r="LI42" s="131"/>
      <c r="LJ42" s="131"/>
      <c r="LK42" s="131"/>
      <c r="LL42" s="131"/>
      <c r="LM42" s="131"/>
      <c r="LN42" s="131"/>
      <c r="LO42" s="131"/>
      <c r="LP42" s="131"/>
      <c r="LQ42" s="131"/>
      <c r="LR42" s="131"/>
      <c r="LS42" s="131"/>
      <c r="LT42" s="131"/>
      <c r="LU42" s="131"/>
      <c r="LV42" s="131"/>
      <c r="LW42" s="131"/>
      <c r="LX42" s="131"/>
      <c r="LY42" s="131"/>
      <c r="LZ42" s="131"/>
      <c r="MA42" s="131"/>
      <c r="MB42" s="131"/>
      <c r="MC42" s="131"/>
      <c r="MD42" s="131"/>
      <c r="ME42" s="131"/>
      <c r="MF42" s="131"/>
      <c r="MG42" s="131"/>
      <c r="MH42" s="131"/>
      <c r="MI42" s="131"/>
      <c r="MJ42" s="131"/>
      <c r="MK42" s="131"/>
      <c r="ML42" s="131"/>
      <c r="MM42" s="131"/>
      <c r="MN42" s="131"/>
      <c r="MO42" s="131"/>
      <c r="MP42" s="131"/>
      <c r="MQ42" s="131"/>
      <c r="MR42" s="131"/>
      <c r="MS42" s="131"/>
      <c r="MT42" s="131"/>
      <c r="MU42" s="131"/>
      <c r="MV42" s="131"/>
      <c r="MW42" s="131"/>
      <c r="MX42" s="131"/>
      <c r="MY42" s="131"/>
      <c r="MZ42" s="131"/>
      <c r="NA42" s="131"/>
      <c r="NB42" s="131"/>
      <c r="NC42" s="131"/>
      <c r="ND42" s="131"/>
      <c r="NE42" s="131"/>
      <c r="NF42" s="131"/>
      <c r="NG42" s="131"/>
      <c r="NH42" s="131"/>
      <c r="NI42" s="131"/>
      <c r="NJ42" s="131"/>
      <c r="NK42" s="131"/>
      <c r="NL42" s="131"/>
      <c r="NM42" s="131"/>
      <c r="NN42" s="131"/>
      <c r="NO42" s="131"/>
      <c r="NP42" s="131"/>
      <c r="NQ42" s="131"/>
      <c r="NR42" s="131"/>
      <c r="NS42" s="131"/>
      <c r="NT42" s="131"/>
      <c r="NU42" s="131"/>
      <c r="NV42" s="131"/>
      <c r="NW42" s="131"/>
      <c r="NX42" s="131"/>
      <c r="NY42" s="131"/>
      <c r="NZ42" s="131"/>
      <c r="OA42" s="131"/>
      <c r="OB42" s="131"/>
      <c r="OC42" s="131"/>
      <c r="OD42" s="131"/>
      <c r="OE42" s="131"/>
      <c r="OF42" s="131"/>
      <c r="OG42" s="131"/>
      <c r="OH42" s="132"/>
    </row>
    <row r="43" spans="1:398" x14ac:dyDescent="0.35">
      <c r="A43" s="102"/>
      <c r="B43" s="168">
        <f t="shared" si="8"/>
        <v>15</v>
      </c>
      <c r="C43" s="171" t="s">
        <v>903</v>
      </c>
      <c r="D43" s="124" t="s">
        <v>904</v>
      </c>
      <c r="E43" s="124" t="s">
        <v>905</v>
      </c>
      <c r="F43" s="163" t="s">
        <v>738</v>
      </c>
      <c r="G43" s="163" t="s">
        <v>738</v>
      </c>
      <c r="H43" s="163" t="s">
        <v>908</v>
      </c>
      <c r="I43" s="130">
        <f>SUM(I35,I42)</f>
        <v>0</v>
      </c>
      <c r="J43" s="130">
        <f>SUM(J35,J42)</f>
        <v>0</v>
      </c>
      <c r="K43" s="130">
        <f t="shared" ref="K43:N43" si="12">SUM(K35,K42)</f>
        <v>0</v>
      </c>
      <c r="L43" s="130">
        <f t="shared" si="12"/>
        <v>0</v>
      </c>
      <c r="M43" s="130">
        <f t="shared" si="12"/>
        <v>0</v>
      </c>
      <c r="N43" s="130">
        <f t="shared" si="12"/>
        <v>0</v>
      </c>
      <c r="O43" s="164">
        <f>SUM(O35,O42)</f>
        <v>0</v>
      </c>
      <c r="P43" s="164">
        <f>SUM(P35,P42)</f>
        <v>0</v>
      </c>
      <c r="Q43" s="164">
        <f t="shared" ref="Q43" si="13">SUM(Q35,Q42)</f>
        <v>0</v>
      </c>
      <c r="R43" s="165"/>
      <c r="S43" s="165"/>
      <c r="T43" s="166">
        <v>0</v>
      </c>
      <c r="U43" s="166">
        <v>0</v>
      </c>
      <c r="V43" s="166">
        <v>0</v>
      </c>
      <c r="W43" s="166">
        <v>0</v>
      </c>
      <c r="X43" s="129">
        <v>0</v>
      </c>
      <c r="Y43" s="129">
        <v>0</v>
      </c>
      <c r="Z43" s="129">
        <v>0</v>
      </c>
      <c r="AA43" s="129">
        <v>0</v>
      </c>
      <c r="AB43" s="129">
        <v>0</v>
      </c>
      <c r="AC43" s="129">
        <v>0</v>
      </c>
      <c r="AD43" s="129">
        <v>0</v>
      </c>
      <c r="AE43" s="129">
        <v>0</v>
      </c>
      <c r="AF43" s="129">
        <v>0</v>
      </c>
      <c r="AG43" s="129">
        <v>0</v>
      </c>
      <c r="AH43" s="129">
        <v>0</v>
      </c>
      <c r="AI43" s="129">
        <v>0</v>
      </c>
      <c r="AJ43" s="129">
        <v>0</v>
      </c>
      <c r="AK43" s="129">
        <v>0</v>
      </c>
      <c r="AL43" s="129">
        <v>0</v>
      </c>
      <c r="AM43" s="129">
        <v>0</v>
      </c>
      <c r="AN43" s="129">
        <v>0</v>
      </c>
      <c r="AO43" s="129">
        <v>0</v>
      </c>
      <c r="AP43" s="129">
        <v>0</v>
      </c>
      <c r="AQ43" s="129">
        <v>0</v>
      </c>
      <c r="AR43" s="129">
        <v>0</v>
      </c>
      <c r="AS43" s="129">
        <v>0</v>
      </c>
      <c r="AT43" s="129">
        <v>0</v>
      </c>
      <c r="AU43" s="129">
        <v>0</v>
      </c>
      <c r="AV43" s="129">
        <v>0</v>
      </c>
      <c r="AW43" s="129">
        <v>0</v>
      </c>
      <c r="AX43" s="129">
        <v>0</v>
      </c>
      <c r="AY43" s="129">
        <v>0</v>
      </c>
      <c r="AZ43" s="129">
        <v>0</v>
      </c>
      <c r="BA43" s="129">
        <v>0</v>
      </c>
      <c r="BB43" s="129">
        <v>0</v>
      </c>
      <c r="BC43" s="129">
        <v>0</v>
      </c>
      <c r="BD43" s="129">
        <v>0</v>
      </c>
      <c r="BE43" s="129">
        <v>0</v>
      </c>
      <c r="BF43" s="129">
        <v>0</v>
      </c>
      <c r="BG43" s="129">
        <v>0</v>
      </c>
      <c r="BH43" s="129">
        <v>0</v>
      </c>
      <c r="BI43" s="129">
        <v>0</v>
      </c>
      <c r="BJ43" s="129">
        <v>0</v>
      </c>
      <c r="BK43" s="129">
        <v>0</v>
      </c>
      <c r="BL43" s="129">
        <v>0</v>
      </c>
      <c r="BM43" s="129">
        <v>0</v>
      </c>
      <c r="BN43" s="129">
        <v>0</v>
      </c>
      <c r="BO43" s="129">
        <v>0</v>
      </c>
      <c r="BP43" s="129">
        <v>0</v>
      </c>
      <c r="BQ43" s="129">
        <v>0</v>
      </c>
      <c r="BR43" s="129">
        <v>0</v>
      </c>
      <c r="BS43" s="129">
        <v>0</v>
      </c>
      <c r="BT43" s="129">
        <v>0</v>
      </c>
      <c r="BU43" s="129">
        <v>0</v>
      </c>
      <c r="BV43" s="129">
        <v>0</v>
      </c>
      <c r="BW43" s="129">
        <v>0</v>
      </c>
      <c r="BX43" s="129">
        <v>0</v>
      </c>
      <c r="BY43" s="129">
        <v>0</v>
      </c>
      <c r="BZ43" s="129">
        <v>0</v>
      </c>
      <c r="CA43" s="129">
        <v>0</v>
      </c>
      <c r="CB43" s="129">
        <v>0</v>
      </c>
      <c r="CC43" s="129">
        <v>0</v>
      </c>
      <c r="CD43" s="129">
        <v>0</v>
      </c>
      <c r="CE43" s="129">
        <v>0</v>
      </c>
      <c r="CF43" s="129">
        <v>0</v>
      </c>
      <c r="CG43" s="129">
        <v>0</v>
      </c>
      <c r="CH43" s="129">
        <v>0</v>
      </c>
      <c r="CI43" s="129">
        <v>0</v>
      </c>
      <c r="CJ43" s="129">
        <v>0</v>
      </c>
      <c r="CK43" s="129">
        <v>0</v>
      </c>
      <c r="CL43" s="129">
        <v>0</v>
      </c>
      <c r="CM43" s="129">
        <v>0</v>
      </c>
      <c r="CN43" s="129">
        <v>0</v>
      </c>
      <c r="CO43" s="129">
        <v>0</v>
      </c>
      <c r="CP43" s="129">
        <v>0</v>
      </c>
      <c r="CQ43" s="129">
        <v>0</v>
      </c>
      <c r="CR43" s="129">
        <v>0</v>
      </c>
      <c r="CS43" s="129">
        <v>0</v>
      </c>
      <c r="CT43" s="129">
        <v>0</v>
      </c>
      <c r="CU43" s="129">
        <v>0</v>
      </c>
      <c r="CV43" s="129">
        <v>0</v>
      </c>
      <c r="CW43" s="129">
        <v>0</v>
      </c>
      <c r="CX43" s="129">
        <v>0</v>
      </c>
      <c r="CY43" s="129">
        <v>0</v>
      </c>
      <c r="CZ43" s="129">
        <v>0</v>
      </c>
      <c r="DA43" s="129">
        <v>0</v>
      </c>
      <c r="DB43" s="129">
        <v>0</v>
      </c>
      <c r="DC43" s="129">
        <v>0</v>
      </c>
      <c r="DD43" s="129">
        <v>0</v>
      </c>
      <c r="DE43" s="129">
        <v>0</v>
      </c>
      <c r="DF43" s="129">
        <v>0</v>
      </c>
      <c r="DG43" s="129">
        <v>0</v>
      </c>
      <c r="DH43" s="129">
        <v>0</v>
      </c>
      <c r="DI43" s="129">
        <v>0</v>
      </c>
      <c r="DJ43" s="129">
        <v>0</v>
      </c>
      <c r="DK43" s="129">
        <v>0</v>
      </c>
      <c r="DL43" s="129">
        <v>0</v>
      </c>
      <c r="DM43" s="129">
        <v>0</v>
      </c>
      <c r="DN43" s="129">
        <v>0</v>
      </c>
      <c r="DO43" s="129">
        <v>0</v>
      </c>
      <c r="DP43" s="129">
        <v>0</v>
      </c>
      <c r="DQ43" s="129">
        <v>0</v>
      </c>
      <c r="DR43" s="129">
        <v>0</v>
      </c>
      <c r="DS43" s="129">
        <v>0</v>
      </c>
      <c r="DT43" s="129">
        <v>0</v>
      </c>
      <c r="DU43" s="129">
        <v>0</v>
      </c>
      <c r="DV43" s="129">
        <v>0</v>
      </c>
      <c r="DW43" s="129">
        <v>0</v>
      </c>
      <c r="DX43" s="129">
        <v>0</v>
      </c>
      <c r="DY43" s="129">
        <v>0</v>
      </c>
      <c r="DZ43" s="129">
        <v>0</v>
      </c>
      <c r="EA43" s="129">
        <v>0</v>
      </c>
      <c r="EB43" s="129">
        <v>0</v>
      </c>
      <c r="EC43" s="129">
        <v>0</v>
      </c>
      <c r="ED43" s="129">
        <v>0</v>
      </c>
      <c r="EE43" s="129">
        <v>0</v>
      </c>
      <c r="EF43" s="129">
        <v>0</v>
      </c>
      <c r="EG43" s="129">
        <v>0</v>
      </c>
      <c r="EH43" s="129">
        <v>0</v>
      </c>
      <c r="EI43" s="129">
        <v>0</v>
      </c>
      <c r="EJ43" s="129">
        <v>0</v>
      </c>
      <c r="EK43" s="129">
        <v>0</v>
      </c>
      <c r="EL43" s="129">
        <v>0</v>
      </c>
      <c r="EM43" s="129">
        <v>0</v>
      </c>
      <c r="EN43" s="129">
        <v>0</v>
      </c>
      <c r="EO43" s="129">
        <v>0</v>
      </c>
      <c r="EP43" s="129">
        <v>0</v>
      </c>
      <c r="EQ43" s="129">
        <v>0</v>
      </c>
      <c r="ER43" s="129">
        <v>0</v>
      </c>
      <c r="ES43" s="129">
        <v>0</v>
      </c>
      <c r="ET43" s="129">
        <v>0</v>
      </c>
      <c r="EU43" s="129">
        <v>0</v>
      </c>
      <c r="EV43" s="129">
        <v>0</v>
      </c>
      <c r="EW43" s="129">
        <v>0</v>
      </c>
      <c r="EX43" s="129">
        <v>0</v>
      </c>
      <c r="EY43" s="129">
        <v>0</v>
      </c>
      <c r="EZ43" s="129">
        <v>0</v>
      </c>
      <c r="FA43" s="129">
        <v>0</v>
      </c>
      <c r="FB43" s="129">
        <v>0</v>
      </c>
      <c r="FC43" s="129">
        <v>0</v>
      </c>
      <c r="FD43" s="129">
        <v>0</v>
      </c>
      <c r="FE43" s="129">
        <v>0</v>
      </c>
      <c r="FF43" s="129">
        <v>0</v>
      </c>
      <c r="FG43" s="129">
        <v>0</v>
      </c>
      <c r="FH43" s="129">
        <v>0</v>
      </c>
      <c r="FI43" s="129">
        <v>0</v>
      </c>
      <c r="FJ43" s="129">
        <v>0</v>
      </c>
      <c r="FK43" s="129">
        <v>0</v>
      </c>
      <c r="FL43" s="129">
        <v>0</v>
      </c>
      <c r="FM43" s="129">
        <v>0</v>
      </c>
      <c r="FN43" s="129">
        <v>0</v>
      </c>
      <c r="FO43" s="129">
        <v>0</v>
      </c>
      <c r="FP43" s="129">
        <v>0</v>
      </c>
      <c r="FQ43" s="129">
        <v>0</v>
      </c>
      <c r="FR43" s="129">
        <v>0</v>
      </c>
      <c r="FS43" s="129">
        <v>0</v>
      </c>
      <c r="FT43" s="129">
        <v>0</v>
      </c>
      <c r="FU43" s="129">
        <v>0</v>
      </c>
      <c r="FV43" s="129">
        <v>0</v>
      </c>
      <c r="FW43" s="129">
        <v>0</v>
      </c>
      <c r="FX43" s="129">
        <v>0</v>
      </c>
      <c r="FY43" s="129">
        <v>0</v>
      </c>
      <c r="FZ43" s="129">
        <v>0</v>
      </c>
      <c r="GA43" s="129">
        <v>0</v>
      </c>
      <c r="GB43" s="129">
        <v>0</v>
      </c>
      <c r="GC43" s="129">
        <v>0</v>
      </c>
      <c r="GD43" s="129">
        <v>0</v>
      </c>
      <c r="GE43" s="129">
        <v>0</v>
      </c>
      <c r="GF43" s="129">
        <v>0</v>
      </c>
      <c r="GG43" s="129">
        <v>0</v>
      </c>
      <c r="GH43" s="129">
        <v>0</v>
      </c>
      <c r="GI43" s="129">
        <v>0</v>
      </c>
      <c r="GJ43" s="129">
        <v>0</v>
      </c>
      <c r="GK43" s="129">
        <v>0</v>
      </c>
      <c r="GL43" s="129">
        <v>0</v>
      </c>
      <c r="GM43" s="129">
        <v>0</v>
      </c>
      <c r="GN43" s="129">
        <v>0</v>
      </c>
      <c r="GO43" s="129">
        <v>0</v>
      </c>
      <c r="GP43" s="129">
        <v>0</v>
      </c>
      <c r="GQ43" s="129">
        <v>0</v>
      </c>
      <c r="GR43" s="129">
        <v>0</v>
      </c>
      <c r="GS43" s="129">
        <v>0</v>
      </c>
      <c r="GT43" s="129">
        <v>0</v>
      </c>
      <c r="GU43" s="129">
        <v>0</v>
      </c>
      <c r="GV43" s="129">
        <v>0</v>
      </c>
      <c r="GW43" s="129">
        <v>0</v>
      </c>
      <c r="GX43" s="129">
        <v>0</v>
      </c>
      <c r="GY43" s="129">
        <v>0</v>
      </c>
      <c r="GZ43" s="129">
        <v>0</v>
      </c>
      <c r="HA43" s="129">
        <v>0</v>
      </c>
      <c r="HB43" s="129">
        <v>0</v>
      </c>
      <c r="HC43" s="129">
        <v>0</v>
      </c>
      <c r="HD43" s="129">
        <v>0</v>
      </c>
      <c r="HE43" s="129">
        <v>0</v>
      </c>
      <c r="HF43" s="129">
        <v>0</v>
      </c>
      <c r="HG43" s="129">
        <v>0</v>
      </c>
      <c r="HH43" s="129">
        <v>0</v>
      </c>
      <c r="HI43" s="129">
        <v>0</v>
      </c>
      <c r="HJ43" s="129">
        <v>0</v>
      </c>
      <c r="HK43" s="129">
        <v>0</v>
      </c>
      <c r="HL43" s="129">
        <v>0</v>
      </c>
      <c r="HM43" s="129">
        <v>0</v>
      </c>
      <c r="HN43" s="129">
        <v>0</v>
      </c>
      <c r="HO43" s="129">
        <v>0</v>
      </c>
      <c r="HP43" s="129">
        <v>0</v>
      </c>
      <c r="HQ43" s="129">
        <v>0</v>
      </c>
      <c r="HR43" s="129">
        <v>0</v>
      </c>
      <c r="HS43" s="129">
        <v>0</v>
      </c>
      <c r="HT43" s="129">
        <v>0</v>
      </c>
      <c r="HU43" s="129">
        <v>0</v>
      </c>
      <c r="HV43" s="129">
        <v>0</v>
      </c>
      <c r="HW43" s="129">
        <v>0</v>
      </c>
      <c r="HX43" s="129">
        <v>0</v>
      </c>
      <c r="HY43" s="129">
        <v>0</v>
      </c>
      <c r="HZ43" s="129">
        <v>0</v>
      </c>
      <c r="IA43" s="129">
        <v>0</v>
      </c>
      <c r="IB43" s="129">
        <v>0</v>
      </c>
      <c r="IC43" s="129">
        <v>0</v>
      </c>
      <c r="ID43" s="129">
        <v>0</v>
      </c>
      <c r="IE43" s="129">
        <v>0</v>
      </c>
      <c r="IF43" s="129">
        <v>0</v>
      </c>
      <c r="IG43" s="129">
        <v>0</v>
      </c>
      <c r="IH43" s="129">
        <v>0</v>
      </c>
      <c r="II43" s="129">
        <v>0</v>
      </c>
      <c r="IJ43" s="129">
        <v>0</v>
      </c>
      <c r="IK43" s="129">
        <v>0</v>
      </c>
      <c r="IL43" s="129">
        <v>0</v>
      </c>
      <c r="IM43" s="129">
        <v>0</v>
      </c>
      <c r="IN43" s="129">
        <v>0</v>
      </c>
      <c r="IO43" s="129">
        <v>0</v>
      </c>
      <c r="IP43" s="129">
        <v>0</v>
      </c>
      <c r="IQ43" s="129">
        <v>0</v>
      </c>
      <c r="IR43" s="129">
        <v>0</v>
      </c>
      <c r="IS43" s="129">
        <v>0</v>
      </c>
      <c r="IT43" s="129">
        <v>0</v>
      </c>
      <c r="IU43" s="129">
        <v>0</v>
      </c>
      <c r="IV43" s="129">
        <v>0</v>
      </c>
      <c r="IW43" s="129">
        <v>0</v>
      </c>
      <c r="IX43" s="129">
        <v>0</v>
      </c>
      <c r="IY43" s="129">
        <v>0</v>
      </c>
      <c r="IZ43" s="129">
        <v>0</v>
      </c>
      <c r="JA43" s="129">
        <v>0</v>
      </c>
      <c r="JB43" s="129">
        <v>0</v>
      </c>
      <c r="JC43" s="129">
        <v>0</v>
      </c>
      <c r="JD43" s="129">
        <v>0</v>
      </c>
      <c r="JE43" s="129">
        <v>0</v>
      </c>
      <c r="JF43" s="129">
        <v>0</v>
      </c>
      <c r="JG43" s="129">
        <v>0</v>
      </c>
      <c r="JH43" s="129">
        <v>0</v>
      </c>
      <c r="JI43" s="129">
        <v>0</v>
      </c>
      <c r="JJ43" s="129">
        <v>0</v>
      </c>
      <c r="JK43" s="129">
        <v>0</v>
      </c>
      <c r="JL43" s="129">
        <v>0</v>
      </c>
      <c r="JM43" s="129">
        <v>0</v>
      </c>
      <c r="JN43" s="129">
        <v>0</v>
      </c>
      <c r="JO43" s="129">
        <v>0</v>
      </c>
      <c r="JP43" s="129">
        <v>0</v>
      </c>
      <c r="JQ43" s="129">
        <v>0</v>
      </c>
      <c r="JR43" s="129">
        <v>0</v>
      </c>
      <c r="JS43" s="129">
        <v>0</v>
      </c>
      <c r="JT43" s="129">
        <v>0</v>
      </c>
      <c r="JU43" s="129">
        <v>0</v>
      </c>
      <c r="JV43" s="129">
        <v>0</v>
      </c>
      <c r="JW43" s="129">
        <v>0</v>
      </c>
      <c r="JX43" s="129">
        <v>0</v>
      </c>
      <c r="JY43" s="129">
        <v>0</v>
      </c>
      <c r="JZ43" s="129">
        <v>0</v>
      </c>
      <c r="KA43" s="129">
        <v>0</v>
      </c>
      <c r="KB43" s="129">
        <v>0</v>
      </c>
      <c r="KC43" s="129">
        <v>0</v>
      </c>
      <c r="KD43" s="129">
        <v>0</v>
      </c>
      <c r="KE43" s="129">
        <v>0</v>
      </c>
      <c r="KF43" s="129">
        <v>0</v>
      </c>
      <c r="KG43" s="129">
        <v>0</v>
      </c>
      <c r="KH43" s="129">
        <v>0</v>
      </c>
      <c r="KI43" s="129">
        <v>0</v>
      </c>
      <c r="KJ43" s="129">
        <v>0</v>
      </c>
      <c r="KK43" s="129">
        <v>0</v>
      </c>
      <c r="KL43" s="129">
        <v>0</v>
      </c>
      <c r="KM43" s="129">
        <v>0</v>
      </c>
      <c r="KN43" s="129">
        <v>0</v>
      </c>
      <c r="KO43" s="129">
        <v>0</v>
      </c>
      <c r="KP43" s="129">
        <v>0</v>
      </c>
      <c r="KQ43" s="129">
        <v>0</v>
      </c>
      <c r="KR43" s="129">
        <v>0</v>
      </c>
      <c r="KS43" s="129">
        <v>0</v>
      </c>
      <c r="KT43" s="129">
        <v>0</v>
      </c>
      <c r="KU43" s="129">
        <v>0</v>
      </c>
      <c r="KV43" s="129">
        <v>0</v>
      </c>
      <c r="KW43" s="129">
        <v>0</v>
      </c>
      <c r="KX43" s="129">
        <v>0</v>
      </c>
      <c r="KY43" s="129">
        <v>0</v>
      </c>
      <c r="KZ43" s="129">
        <v>0</v>
      </c>
      <c r="LA43" s="129">
        <v>0</v>
      </c>
      <c r="LB43" s="129">
        <v>0</v>
      </c>
      <c r="LC43" s="129">
        <v>0</v>
      </c>
      <c r="LD43" s="129">
        <v>0</v>
      </c>
      <c r="LE43" s="129">
        <v>0</v>
      </c>
      <c r="LF43" s="129">
        <v>0</v>
      </c>
      <c r="LG43" s="129">
        <v>0</v>
      </c>
      <c r="LH43" s="129">
        <v>0</v>
      </c>
      <c r="LI43" s="129">
        <v>0</v>
      </c>
      <c r="LJ43" s="129">
        <v>0</v>
      </c>
      <c r="LK43" s="129">
        <v>0</v>
      </c>
      <c r="LL43" s="129">
        <v>0</v>
      </c>
      <c r="LM43" s="129">
        <v>0</v>
      </c>
      <c r="LN43" s="129">
        <v>0</v>
      </c>
      <c r="LO43" s="129">
        <v>0</v>
      </c>
      <c r="LP43" s="129">
        <v>0</v>
      </c>
      <c r="LQ43" s="129">
        <v>0</v>
      </c>
      <c r="LR43" s="129">
        <v>0</v>
      </c>
      <c r="LS43" s="129">
        <v>0</v>
      </c>
      <c r="LT43" s="129">
        <v>0</v>
      </c>
      <c r="LU43" s="129">
        <v>0</v>
      </c>
      <c r="LV43" s="129">
        <v>0</v>
      </c>
      <c r="LW43" s="129">
        <v>0</v>
      </c>
      <c r="LX43" s="129">
        <v>0</v>
      </c>
      <c r="LY43" s="129">
        <v>0</v>
      </c>
      <c r="LZ43" s="129">
        <v>0</v>
      </c>
      <c r="MA43" s="129">
        <v>0</v>
      </c>
      <c r="MB43" s="129">
        <v>0</v>
      </c>
      <c r="MC43" s="129">
        <v>0</v>
      </c>
      <c r="MD43" s="129">
        <v>0</v>
      </c>
      <c r="ME43" s="129">
        <v>0</v>
      </c>
      <c r="MF43" s="129">
        <v>0</v>
      </c>
      <c r="MG43" s="129">
        <v>0</v>
      </c>
      <c r="MH43" s="129">
        <v>0</v>
      </c>
      <c r="MI43" s="129">
        <v>0</v>
      </c>
      <c r="MJ43" s="129">
        <v>0</v>
      </c>
      <c r="MK43" s="129">
        <v>0</v>
      </c>
      <c r="ML43" s="129">
        <v>0</v>
      </c>
      <c r="MM43" s="129">
        <v>0</v>
      </c>
      <c r="MN43" s="129">
        <v>0</v>
      </c>
      <c r="MO43" s="129">
        <v>0</v>
      </c>
      <c r="MP43" s="129">
        <v>0</v>
      </c>
      <c r="MQ43" s="129">
        <v>0</v>
      </c>
      <c r="MR43" s="129">
        <v>0</v>
      </c>
      <c r="MS43" s="129">
        <v>0</v>
      </c>
      <c r="MT43" s="129">
        <v>0</v>
      </c>
      <c r="MU43" s="129">
        <v>0</v>
      </c>
      <c r="MV43" s="129">
        <v>0</v>
      </c>
      <c r="MW43" s="129">
        <v>0</v>
      </c>
      <c r="MX43" s="129">
        <v>0</v>
      </c>
      <c r="MY43" s="129">
        <v>0</v>
      </c>
      <c r="MZ43" s="129">
        <v>0</v>
      </c>
      <c r="NA43" s="129">
        <v>0</v>
      </c>
      <c r="NB43" s="129">
        <v>0</v>
      </c>
      <c r="NC43" s="129">
        <v>0</v>
      </c>
      <c r="ND43" s="129">
        <v>0</v>
      </c>
      <c r="NE43" s="129">
        <v>0</v>
      </c>
      <c r="NF43" s="129">
        <v>0</v>
      </c>
      <c r="NG43" s="129">
        <v>0</v>
      </c>
      <c r="NH43" s="129">
        <v>0</v>
      </c>
      <c r="NI43" s="129">
        <v>0</v>
      </c>
      <c r="NJ43" s="129">
        <v>0</v>
      </c>
      <c r="NK43" s="129">
        <v>0</v>
      </c>
      <c r="NL43" s="129">
        <v>0</v>
      </c>
      <c r="NM43" s="129">
        <v>0</v>
      </c>
      <c r="NN43" s="129">
        <v>0</v>
      </c>
      <c r="NO43" s="129">
        <v>0</v>
      </c>
      <c r="NP43" s="129">
        <v>0</v>
      </c>
      <c r="NQ43" s="129">
        <v>0</v>
      </c>
      <c r="NR43" s="129">
        <v>0</v>
      </c>
      <c r="NS43" s="129">
        <v>0</v>
      </c>
      <c r="NT43" s="129">
        <v>0</v>
      </c>
      <c r="NU43" s="129">
        <v>0</v>
      </c>
      <c r="NV43" s="129">
        <v>0</v>
      </c>
      <c r="NW43" s="129">
        <v>0</v>
      </c>
      <c r="NX43" s="129">
        <v>0</v>
      </c>
      <c r="NY43" s="129">
        <v>0</v>
      </c>
      <c r="NZ43" s="129">
        <v>0</v>
      </c>
      <c r="OA43" s="129">
        <v>0</v>
      </c>
      <c r="OB43" s="129">
        <v>0</v>
      </c>
      <c r="OC43" s="129">
        <v>0</v>
      </c>
      <c r="OD43" s="129">
        <v>0</v>
      </c>
      <c r="OE43" s="129">
        <v>0</v>
      </c>
      <c r="OF43" s="129">
        <v>0</v>
      </c>
      <c r="OG43" s="129">
        <v>0</v>
      </c>
      <c r="OH43" s="133">
        <v>0</v>
      </c>
    </row>
    <row r="44" spans="1:398" x14ac:dyDescent="0.35">
      <c r="A44" s="102"/>
      <c r="B44" s="168">
        <f t="shared" si="8"/>
        <v>16</v>
      </c>
      <c r="C44" s="171" t="s">
        <v>903</v>
      </c>
      <c r="D44" s="124" t="s">
        <v>904</v>
      </c>
      <c r="E44" s="124" t="s">
        <v>909</v>
      </c>
      <c r="F44" s="125" t="s">
        <v>956</v>
      </c>
      <c r="G44" s="163" t="s">
        <v>738</v>
      </c>
      <c r="H44" s="163" t="s">
        <v>910</v>
      </c>
      <c r="I44" s="166">
        <v>0</v>
      </c>
      <c r="J44" s="166">
        <v>0</v>
      </c>
      <c r="K44" s="166">
        <v>0</v>
      </c>
      <c r="L44" s="166">
        <v>0</v>
      </c>
      <c r="M44" s="166">
        <v>0</v>
      </c>
      <c r="N44" s="166">
        <v>0</v>
      </c>
      <c r="O44" s="164">
        <f>SUM(P44,R44)</f>
        <v>0</v>
      </c>
      <c r="P44" s="166">
        <v>0</v>
      </c>
      <c r="Q44" s="166">
        <v>0</v>
      </c>
      <c r="R44" s="165"/>
      <c r="S44" s="165"/>
      <c r="T44" s="166">
        <v>0</v>
      </c>
      <c r="U44" s="166">
        <v>0</v>
      </c>
      <c r="V44" s="166">
        <v>0</v>
      </c>
      <c r="W44" s="129">
        <v>0</v>
      </c>
      <c r="X44" s="129">
        <v>0</v>
      </c>
      <c r="Y44" s="129">
        <v>0</v>
      </c>
      <c r="Z44" s="129">
        <v>0</v>
      </c>
      <c r="AA44" s="129">
        <v>0</v>
      </c>
      <c r="AB44" s="129">
        <v>0</v>
      </c>
      <c r="AC44" s="129">
        <v>0</v>
      </c>
      <c r="AD44" s="129">
        <v>0</v>
      </c>
      <c r="AE44" s="129">
        <v>0</v>
      </c>
      <c r="AF44" s="129">
        <v>0</v>
      </c>
      <c r="AG44" s="129">
        <v>0</v>
      </c>
      <c r="AH44" s="129">
        <v>0</v>
      </c>
      <c r="AI44" s="129">
        <v>0</v>
      </c>
      <c r="AJ44" s="129">
        <v>0</v>
      </c>
      <c r="AK44" s="129">
        <v>0</v>
      </c>
      <c r="AL44" s="129">
        <v>0</v>
      </c>
      <c r="AM44" s="129">
        <v>0</v>
      </c>
      <c r="AN44" s="129">
        <v>0</v>
      </c>
      <c r="AO44" s="129">
        <v>0</v>
      </c>
      <c r="AP44" s="129">
        <v>0</v>
      </c>
      <c r="AQ44" s="129">
        <v>0</v>
      </c>
      <c r="AR44" s="129">
        <v>0</v>
      </c>
      <c r="AS44" s="129">
        <v>0</v>
      </c>
      <c r="AT44" s="129">
        <v>0</v>
      </c>
      <c r="AU44" s="129">
        <v>0</v>
      </c>
      <c r="AV44" s="129">
        <v>0</v>
      </c>
      <c r="AW44" s="129">
        <v>0</v>
      </c>
      <c r="AX44" s="129">
        <v>0</v>
      </c>
      <c r="AY44" s="129">
        <v>0</v>
      </c>
      <c r="AZ44" s="129">
        <v>0</v>
      </c>
      <c r="BA44" s="129">
        <v>0</v>
      </c>
      <c r="BB44" s="129">
        <v>0</v>
      </c>
      <c r="BC44" s="129">
        <v>0</v>
      </c>
      <c r="BD44" s="129">
        <v>0</v>
      </c>
      <c r="BE44" s="129">
        <v>0</v>
      </c>
      <c r="BF44" s="129">
        <v>0</v>
      </c>
      <c r="BG44" s="129">
        <v>0</v>
      </c>
      <c r="BH44" s="129">
        <v>0</v>
      </c>
      <c r="BI44" s="129">
        <v>0</v>
      </c>
      <c r="BJ44" s="129">
        <v>0</v>
      </c>
      <c r="BK44" s="129">
        <v>0</v>
      </c>
      <c r="BL44" s="129">
        <v>0</v>
      </c>
      <c r="BM44" s="129">
        <v>0</v>
      </c>
      <c r="BN44" s="129">
        <v>0</v>
      </c>
      <c r="BO44" s="129">
        <v>0</v>
      </c>
      <c r="BP44" s="129">
        <v>0</v>
      </c>
      <c r="BQ44" s="129">
        <v>0</v>
      </c>
      <c r="BR44" s="129">
        <v>0</v>
      </c>
      <c r="BS44" s="129">
        <v>0</v>
      </c>
      <c r="BT44" s="129">
        <v>0</v>
      </c>
      <c r="BU44" s="129">
        <v>0</v>
      </c>
      <c r="BV44" s="129">
        <v>0</v>
      </c>
      <c r="BW44" s="129">
        <v>0</v>
      </c>
      <c r="BX44" s="129">
        <v>0</v>
      </c>
      <c r="BY44" s="129">
        <v>0</v>
      </c>
      <c r="BZ44" s="129">
        <v>0</v>
      </c>
      <c r="CA44" s="129">
        <v>0</v>
      </c>
      <c r="CB44" s="129">
        <v>0</v>
      </c>
      <c r="CC44" s="129">
        <v>0</v>
      </c>
      <c r="CD44" s="129">
        <v>0</v>
      </c>
      <c r="CE44" s="129">
        <v>0</v>
      </c>
      <c r="CF44" s="129">
        <v>0</v>
      </c>
      <c r="CG44" s="129">
        <v>0</v>
      </c>
      <c r="CH44" s="129">
        <v>0</v>
      </c>
      <c r="CI44" s="129">
        <v>0</v>
      </c>
      <c r="CJ44" s="129">
        <v>0</v>
      </c>
      <c r="CK44" s="129">
        <v>0</v>
      </c>
      <c r="CL44" s="129">
        <v>0</v>
      </c>
      <c r="CM44" s="129">
        <v>0</v>
      </c>
      <c r="CN44" s="129">
        <v>0</v>
      </c>
      <c r="CO44" s="129">
        <v>0</v>
      </c>
      <c r="CP44" s="129">
        <v>0</v>
      </c>
      <c r="CQ44" s="129">
        <v>0</v>
      </c>
      <c r="CR44" s="129">
        <v>0</v>
      </c>
      <c r="CS44" s="129">
        <v>0</v>
      </c>
      <c r="CT44" s="129">
        <v>0</v>
      </c>
      <c r="CU44" s="129">
        <v>0</v>
      </c>
      <c r="CV44" s="129">
        <v>0</v>
      </c>
      <c r="CW44" s="129">
        <v>0</v>
      </c>
      <c r="CX44" s="129">
        <v>0</v>
      </c>
      <c r="CY44" s="129">
        <v>0</v>
      </c>
      <c r="CZ44" s="129">
        <v>0</v>
      </c>
      <c r="DA44" s="129">
        <v>0</v>
      </c>
      <c r="DB44" s="129">
        <v>0</v>
      </c>
      <c r="DC44" s="129">
        <v>0</v>
      </c>
      <c r="DD44" s="129">
        <v>0</v>
      </c>
      <c r="DE44" s="129">
        <v>0</v>
      </c>
      <c r="DF44" s="129">
        <v>0</v>
      </c>
      <c r="DG44" s="129">
        <v>0</v>
      </c>
      <c r="DH44" s="129">
        <v>0</v>
      </c>
      <c r="DI44" s="129">
        <v>0</v>
      </c>
      <c r="DJ44" s="129">
        <v>0</v>
      </c>
      <c r="DK44" s="129">
        <v>0</v>
      </c>
      <c r="DL44" s="129">
        <v>0</v>
      </c>
      <c r="DM44" s="129">
        <v>0</v>
      </c>
      <c r="DN44" s="129">
        <v>0</v>
      </c>
      <c r="DO44" s="129">
        <v>0</v>
      </c>
      <c r="DP44" s="129">
        <v>0</v>
      </c>
      <c r="DQ44" s="129">
        <v>0</v>
      </c>
      <c r="DR44" s="129">
        <v>0</v>
      </c>
      <c r="DS44" s="129">
        <v>0</v>
      </c>
      <c r="DT44" s="129">
        <v>0</v>
      </c>
      <c r="DU44" s="129">
        <v>0</v>
      </c>
      <c r="DV44" s="129">
        <v>0</v>
      </c>
      <c r="DW44" s="129">
        <v>0</v>
      </c>
      <c r="DX44" s="129">
        <v>0</v>
      </c>
      <c r="DY44" s="129">
        <v>0</v>
      </c>
      <c r="DZ44" s="129">
        <v>0</v>
      </c>
      <c r="EA44" s="129">
        <v>0</v>
      </c>
      <c r="EB44" s="129">
        <v>0</v>
      </c>
      <c r="EC44" s="129">
        <v>0</v>
      </c>
      <c r="ED44" s="129">
        <v>0</v>
      </c>
      <c r="EE44" s="129">
        <v>0</v>
      </c>
      <c r="EF44" s="129">
        <v>0</v>
      </c>
      <c r="EG44" s="129">
        <v>0</v>
      </c>
      <c r="EH44" s="129">
        <v>0</v>
      </c>
      <c r="EI44" s="129">
        <v>0</v>
      </c>
      <c r="EJ44" s="129">
        <v>0</v>
      </c>
      <c r="EK44" s="129">
        <v>0</v>
      </c>
      <c r="EL44" s="129">
        <v>0</v>
      </c>
      <c r="EM44" s="129">
        <v>0</v>
      </c>
      <c r="EN44" s="129">
        <v>0</v>
      </c>
      <c r="EO44" s="129">
        <v>0</v>
      </c>
      <c r="EP44" s="129">
        <v>0</v>
      </c>
      <c r="EQ44" s="129">
        <v>0</v>
      </c>
      <c r="ER44" s="129">
        <v>0</v>
      </c>
      <c r="ES44" s="129">
        <v>0</v>
      </c>
      <c r="ET44" s="129">
        <v>0</v>
      </c>
      <c r="EU44" s="129">
        <v>0</v>
      </c>
      <c r="EV44" s="129">
        <v>0</v>
      </c>
      <c r="EW44" s="129">
        <v>0</v>
      </c>
      <c r="EX44" s="129">
        <v>0</v>
      </c>
      <c r="EY44" s="129">
        <v>0</v>
      </c>
      <c r="EZ44" s="129">
        <v>0</v>
      </c>
      <c r="FA44" s="129">
        <v>0</v>
      </c>
      <c r="FB44" s="129">
        <v>0</v>
      </c>
      <c r="FC44" s="129">
        <v>0</v>
      </c>
      <c r="FD44" s="129">
        <v>0</v>
      </c>
      <c r="FE44" s="129">
        <v>0</v>
      </c>
      <c r="FF44" s="129">
        <v>0</v>
      </c>
      <c r="FG44" s="129">
        <v>0</v>
      </c>
      <c r="FH44" s="129">
        <v>0</v>
      </c>
      <c r="FI44" s="129">
        <v>0</v>
      </c>
      <c r="FJ44" s="129">
        <v>0</v>
      </c>
      <c r="FK44" s="129">
        <v>0</v>
      </c>
      <c r="FL44" s="129">
        <v>0</v>
      </c>
      <c r="FM44" s="129">
        <v>0</v>
      </c>
      <c r="FN44" s="129">
        <v>0</v>
      </c>
      <c r="FO44" s="129">
        <v>0</v>
      </c>
      <c r="FP44" s="129">
        <v>0</v>
      </c>
      <c r="FQ44" s="129">
        <v>0</v>
      </c>
      <c r="FR44" s="129">
        <v>0</v>
      </c>
      <c r="FS44" s="129">
        <v>0</v>
      </c>
      <c r="FT44" s="129">
        <v>0</v>
      </c>
      <c r="FU44" s="129">
        <v>0</v>
      </c>
      <c r="FV44" s="129">
        <v>0</v>
      </c>
      <c r="FW44" s="129">
        <v>0</v>
      </c>
      <c r="FX44" s="129">
        <v>0</v>
      </c>
      <c r="FY44" s="129">
        <v>0</v>
      </c>
      <c r="FZ44" s="129">
        <v>0</v>
      </c>
      <c r="GA44" s="129">
        <v>0</v>
      </c>
      <c r="GB44" s="129">
        <v>0</v>
      </c>
      <c r="GC44" s="129">
        <v>0</v>
      </c>
      <c r="GD44" s="129">
        <v>0</v>
      </c>
      <c r="GE44" s="129">
        <v>0</v>
      </c>
      <c r="GF44" s="129">
        <v>0</v>
      </c>
      <c r="GG44" s="129">
        <v>0</v>
      </c>
      <c r="GH44" s="129">
        <v>0</v>
      </c>
      <c r="GI44" s="129">
        <v>0</v>
      </c>
      <c r="GJ44" s="129">
        <v>0</v>
      </c>
      <c r="GK44" s="129">
        <v>0</v>
      </c>
      <c r="GL44" s="129">
        <v>0</v>
      </c>
      <c r="GM44" s="129">
        <v>0</v>
      </c>
      <c r="GN44" s="129">
        <v>0</v>
      </c>
      <c r="GO44" s="129">
        <v>0</v>
      </c>
      <c r="GP44" s="129">
        <v>0</v>
      </c>
      <c r="GQ44" s="129">
        <v>0</v>
      </c>
      <c r="GR44" s="129">
        <v>0</v>
      </c>
      <c r="GS44" s="129">
        <v>0</v>
      </c>
      <c r="GT44" s="129">
        <v>0</v>
      </c>
      <c r="GU44" s="129">
        <v>0</v>
      </c>
      <c r="GV44" s="129">
        <v>0</v>
      </c>
      <c r="GW44" s="129">
        <v>0</v>
      </c>
      <c r="GX44" s="129">
        <v>0</v>
      </c>
      <c r="GY44" s="129">
        <v>0</v>
      </c>
      <c r="GZ44" s="129">
        <v>0</v>
      </c>
      <c r="HA44" s="129">
        <v>0</v>
      </c>
      <c r="HB44" s="129">
        <v>0</v>
      </c>
      <c r="HC44" s="129">
        <v>0</v>
      </c>
      <c r="HD44" s="129">
        <v>0</v>
      </c>
      <c r="HE44" s="129">
        <v>0</v>
      </c>
      <c r="HF44" s="129">
        <v>0</v>
      </c>
      <c r="HG44" s="129">
        <v>0</v>
      </c>
      <c r="HH44" s="129">
        <v>0</v>
      </c>
      <c r="HI44" s="129">
        <v>0</v>
      </c>
      <c r="HJ44" s="129">
        <v>0</v>
      </c>
      <c r="HK44" s="129">
        <v>0</v>
      </c>
      <c r="HL44" s="129">
        <v>0</v>
      </c>
      <c r="HM44" s="129">
        <v>0</v>
      </c>
      <c r="HN44" s="129">
        <v>0</v>
      </c>
      <c r="HO44" s="129">
        <v>0</v>
      </c>
      <c r="HP44" s="129">
        <v>0</v>
      </c>
      <c r="HQ44" s="129">
        <v>0</v>
      </c>
      <c r="HR44" s="129">
        <v>0</v>
      </c>
      <c r="HS44" s="129">
        <v>0</v>
      </c>
      <c r="HT44" s="129">
        <v>0</v>
      </c>
      <c r="HU44" s="129">
        <v>0</v>
      </c>
      <c r="HV44" s="129">
        <v>0</v>
      </c>
      <c r="HW44" s="129">
        <v>0</v>
      </c>
      <c r="HX44" s="129">
        <v>0</v>
      </c>
      <c r="HY44" s="129">
        <v>0</v>
      </c>
      <c r="HZ44" s="129">
        <v>0</v>
      </c>
      <c r="IA44" s="129">
        <v>0</v>
      </c>
      <c r="IB44" s="129">
        <v>0</v>
      </c>
      <c r="IC44" s="129">
        <v>0</v>
      </c>
      <c r="ID44" s="129">
        <v>0</v>
      </c>
      <c r="IE44" s="129">
        <v>0</v>
      </c>
      <c r="IF44" s="129">
        <v>0</v>
      </c>
      <c r="IG44" s="129">
        <v>0</v>
      </c>
      <c r="IH44" s="129">
        <v>0</v>
      </c>
      <c r="II44" s="129">
        <v>0</v>
      </c>
      <c r="IJ44" s="129">
        <v>0</v>
      </c>
      <c r="IK44" s="129">
        <v>0</v>
      </c>
      <c r="IL44" s="129">
        <v>0</v>
      </c>
      <c r="IM44" s="129">
        <v>0</v>
      </c>
      <c r="IN44" s="129">
        <v>0</v>
      </c>
      <c r="IO44" s="129">
        <v>0</v>
      </c>
      <c r="IP44" s="129">
        <v>0</v>
      </c>
      <c r="IQ44" s="129">
        <v>0</v>
      </c>
      <c r="IR44" s="129">
        <v>0</v>
      </c>
      <c r="IS44" s="129">
        <v>0</v>
      </c>
      <c r="IT44" s="129">
        <v>0</v>
      </c>
      <c r="IU44" s="129">
        <v>0</v>
      </c>
      <c r="IV44" s="129">
        <v>0</v>
      </c>
      <c r="IW44" s="129">
        <v>0</v>
      </c>
      <c r="IX44" s="129">
        <v>0</v>
      </c>
      <c r="IY44" s="129">
        <v>0</v>
      </c>
      <c r="IZ44" s="129">
        <v>0</v>
      </c>
      <c r="JA44" s="129">
        <v>0</v>
      </c>
      <c r="JB44" s="129">
        <v>0</v>
      </c>
      <c r="JC44" s="129">
        <v>0</v>
      </c>
      <c r="JD44" s="129">
        <v>0</v>
      </c>
      <c r="JE44" s="129">
        <v>0</v>
      </c>
      <c r="JF44" s="129">
        <v>0</v>
      </c>
      <c r="JG44" s="129">
        <v>0</v>
      </c>
      <c r="JH44" s="129">
        <v>0</v>
      </c>
      <c r="JI44" s="129">
        <v>0</v>
      </c>
      <c r="JJ44" s="129">
        <v>0</v>
      </c>
      <c r="JK44" s="129">
        <v>0</v>
      </c>
      <c r="JL44" s="129">
        <v>0</v>
      </c>
      <c r="JM44" s="129">
        <v>0</v>
      </c>
      <c r="JN44" s="129">
        <v>0</v>
      </c>
      <c r="JO44" s="129">
        <v>0</v>
      </c>
      <c r="JP44" s="129">
        <v>0</v>
      </c>
      <c r="JQ44" s="129">
        <v>0</v>
      </c>
      <c r="JR44" s="129">
        <v>0</v>
      </c>
      <c r="JS44" s="129">
        <v>0</v>
      </c>
      <c r="JT44" s="129">
        <v>0</v>
      </c>
      <c r="JU44" s="129">
        <v>0</v>
      </c>
      <c r="JV44" s="129">
        <v>0</v>
      </c>
      <c r="JW44" s="129">
        <v>0</v>
      </c>
      <c r="JX44" s="129">
        <v>0</v>
      </c>
      <c r="JY44" s="129">
        <v>0</v>
      </c>
      <c r="JZ44" s="129">
        <v>0</v>
      </c>
      <c r="KA44" s="129">
        <v>0</v>
      </c>
      <c r="KB44" s="129">
        <v>0</v>
      </c>
      <c r="KC44" s="129">
        <v>0</v>
      </c>
      <c r="KD44" s="129">
        <v>0</v>
      </c>
      <c r="KE44" s="129">
        <v>0</v>
      </c>
      <c r="KF44" s="129">
        <v>0</v>
      </c>
      <c r="KG44" s="129">
        <v>0</v>
      </c>
      <c r="KH44" s="129">
        <v>0</v>
      </c>
      <c r="KI44" s="129">
        <v>0</v>
      </c>
      <c r="KJ44" s="129">
        <v>0</v>
      </c>
      <c r="KK44" s="129">
        <v>0</v>
      </c>
      <c r="KL44" s="129">
        <v>0</v>
      </c>
      <c r="KM44" s="129">
        <v>0</v>
      </c>
      <c r="KN44" s="129">
        <v>0</v>
      </c>
      <c r="KO44" s="129">
        <v>0</v>
      </c>
      <c r="KP44" s="129">
        <v>0</v>
      </c>
      <c r="KQ44" s="129">
        <v>0</v>
      </c>
      <c r="KR44" s="129">
        <v>0</v>
      </c>
      <c r="KS44" s="129">
        <v>0</v>
      </c>
      <c r="KT44" s="129">
        <v>0</v>
      </c>
      <c r="KU44" s="129">
        <v>0</v>
      </c>
      <c r="KV44" s="129">
        <v>0</v>
      </c>
      <c r="KW44" s="129">
        <v>0</v>
      </c>
      <c r="KX44" s="129">
        <v>0</v>
      </c>
      <c r="KY44" s="129">
        <v>0</v>
      </c>
      <c r="KZ44" s="129">
        <v>0</v>
      </c>
      <c r="LA44" s="129">
        <v>0</v>
      </c>
      <c r="LB44" s="129">
        <v>0</v>
      </c>
      <c r="LC44" s="129">
        <v>0</v>
      </c>
      <c r="LD44" s="129">
        <v>0</v>
      </c>
      <c r="LE44" s="129">
        <v>0</v>
      </c>
      <c r="LF44" s="129">
        <v>0</v>
      </c>
      <c r="LG44" s="129">
        <v>0</v>
      </c>
      <c r="LH44" s="129">
        <v>0</v>
      </c>
      <c r="LI44" s="129">
        <v>0</v>
      </c>
      <c r="LJ44" s="129">
        <v>0</v>
      </c>
      <c r="LK44" s="129">
        <v>0</v>
      </c>
      <c r="LL44" s="129">
        <v>0</v>
      </c>
      <c r="LM44" s="129">
        <v>0</v>
      </c>
      <c r="LN44" s="129">
        <v>0</v>
      </c>
      <c r="LO44" s="129">
        <v>0</v>
      </c>
      <c r="LP44" s="129">
        <v>0</v>
      </c>
      <c r="LQ44" s="129">
        <v>0</v>
      </c>
      <c r="LR44" s="129">
        <v>0</v>
      </c>
      <c r="LS44" s="129">
        <v>0</v>
      </c>
      <c r="LT44" s="129">
        <v>0</v>
      </c>
      <c r="LU44" s="129">
        <v>0</v>
      </c>
      <c r="LV44" s="129">
        <v>0</v>
      </c>
      <c r="LW44" s="129">
        <v>0</v>
      </c>
      <c r="LX44" s="129">
        <v>0</v>
      </c>
      <c r="LY44" s="129">
        <v>0</v>
      </c>
      <c r="LZ44" s="129">
        <v>0</v>
      </c>
      <c r="MA44" s="129">
        <v>0</v>
      </c>
      <c r="MB44" s="129">
        <v>0</v>
      </c>
      <c r="MC44" s="129">
        <v>0</v>
      </c>
      <c r="MD44" s="129">
        <v>0</v>
      </c>
      <c r="ME44" s="129">
        <v>0</v>
      </c>
      <c r="MF44" s="129">
        <v>0</v>
      </c>
      <c r="MG44" s="129">
        <v>0</v>
      </c>
      <c r="MH44" s="129">
        <v>0</v>
      </c>
      <c r="MI44" s="129">
        <v>0</v>
      </c>
      <c r="MJ44" s="129">
        <v>0</v>
      </c>
      <c r="MK44" s="129">
        <v>0</v>
      </c>
      <c r="ML44" s="129">
        <v>0</v>
      </c>
      <c r="MM44" s="129">
        <v>0</v>
      </c>
      <c r="MN44" s="129">
        <v>0</v>
      </c>
      <c r="MO44" s="129">
        <v>0</v>
      </c>
      <c r="MP44" s="129">
        <v>0</v>
      </c>
      <c r="MQ44" s="129">
        <v>0</v>
      </c>
      <c r="MR44" s="129">
        <v>0</v>
      </c>
      <c r="MS44" s="129">
        <v>0</v>
      </c>
      <c r="MT44" s="129">
        <v>0</v>
      </c>
      <c r="MU44" s="129">
        <v>0</v>
      </c>
      <c r="MV44" s="129">
        <v>0</v>
      </c>
      <c r="MW44" s="129">
        <v>0</v>
      </c>
      <c r="MX44" s="129">
        <v>0</v>
      </c>
      <c r="MY44" s="129">
        <v>0</v>
      </c>
      <c r="MZ44" s="129">
        <v>0</v>
      </c>
      <c r="NA44" s="129">
        <v>0</v>
      </c>
      <c r="NB44" s="129">
        <v>0</v>
      </c>
      <c r="NC44" s="129">
        <v>0</v>
      </c>
      <c r="ND44" s="129">
        <v>0</v>
      </c>
      <c r="NE44" s="129">
        <v>0</v>
      </c>
      <c r="NF44" s="129">
        <v>0</v>
      </c>
      <c r="NG44" s="129">
        <v>0</v>
      </c>
      <c r="NH44" s="129">
        <v>0</v>
      </c>
      <c r="NI44" s="129">
        <v>0</v>
      </c>
      <c r="NJ44" s="129">
        <v>0</v>
      </c>
      <c r="NK44" s="129">
        <v>0</v>
      </c>
      <c r="NL44" s="129">
        <v>0</v>
      </c>
      <c r="NM44" s="129">
        <v>0</v>
      </c>
      <c r="NN44" s="129">
        <v>0</v>
      </c>
      <c r="NO44" s="129">
        <v>0</v>
      </c>
      <c r="NP44" s="129">
        <v>0</v>
      </c>
      <c r="NQ44" s="129">
        <v>0</v>
      </c>
      <c r="NR44" s="129">
        <v>0</v>
      </c>
      <c r="NS44" s="129">
        <v>0</v>
      </c>
      <c r="NT44" s="129">
        <v>0</v>
      </c>
      <c r="NU44" s="129">
        <v>0</v>
      </c>
      <c r="NV44" s="129">
        <v>0</v>
      </c>
      <c r="NW44" s="129">
        <v>0</v>
      </c>
      <c r="NX44" s="129">
        <v>0</v>
      </c>
      <c r="NY44" s="129">
        <v>0</v>
      </c>
      <c r="NZ44" s="129">
        <v>0</v>
      </c>
      <c r="OA44" s="129">
        <v>0</v>
      </c>
      <c r="OB44" s="129">
        <v>0</v>
      </c>
      <c r="OC44" s="129">
        <v>0</v>
      </c>
      <c r="OD44" s="129">
        <v>0</v>
      </c>
      <c r="OE44" s="129">
        <v>0</v>
      </c>
      <c r="OF44" s="129">
        <v>0</v>
      </c>
      <c r="OG44" s="129">
        <v>0</v>
      </c>
      <c r="OH44" s="133">
        <v>0</v>
      </c>
    </row>
    <row r="45" spans="1:398" x14ac:dyDescent="0.35">
      <c r="A45" s="102"/>
      <c r="B45" s="168">
        <f t="shared" si="8"/>
        <v>17</v>
      </c>
      <c r="C45" s="171" t="s">
        <v>903</v>
      </c>
      <c r="D45" s="124" t="s">
        <v>904</v>
      </c>
      <c r="E45" s="124" t="s">
        <v>911</v>
      </c>
      <c r="F45" s="125" t="s">
        <v>957</v>
      </c>
      <c r="G45" s="163" t="s">
        <v>738</v>
      </c>
      <c r="H45" s="163" t="s">
        <v>944</v>
      </c>
      <c r="I45" s="166">
        <v>0</v>
      </c>
      <c r="J45" s="166">
        <v>0</v>
      </c>
      <c r="K45" s="166">
        <v>0</v>
      </c>
      <c r="L45" s="166">
        <v>0</v>
      </c>
      <c r="M45" s="166">
        <v>0</v>
      </c>
      <c r="N45" s="166">
        <v>0</v>
      </c>
      <c r="O45" s="164">
        <f>SUM(P45,R45)</f>
        <v>0</v>
      </c>
      <c r="P45" s="166">
        <v>0</v>
      </c>
      <c r="Q45" s="166">
        <v>0</v>
      </c>
      <c r="R45" s="166">
        <v>0</v>
      </c>
      <c r="S45" s="166">
        <v>0</v>
      </c>
      <c r="T45" s="166">
        <v>0</v>
      </c>
      <c r="U45" s="166">
        <v>0</v>
      </c>
      <c r="V45" s="166">
        <v>0</v>
      </c>
      <c r="W45" s="129">
        <v>0</v>
      </c>
      <c r="X45" s="129">
        <v>0</v>
      </c>
      <c r="Y45" s="129">
        <v>0</v>
      </c>
      <c r="Z45" s="129">
        <v>0</v>
      </c>
      <c r="AA45" s="129">
        <v>0</v>
      </c>
      <c r="AB45" s="129">
        <v>0</v>
      </c>
      <c r="AC45" s="129">
        <v>0</v>
      </c>
      <c r="AD45" s="129">
        <v>0</v>
      </c>
      <c r="AE45" s="129">
        <v>0</v>
      </c>
      <c r="AF45" s="129">
        <v>0</v>
      </c>
      <c r="AG45" s="129">
        <v>0</v>
      </c>
      <c r="AH45" s="129">
        <v>0</v>
      </c>
      <c r="AI45" s="129">
        <v>0</v>
      </c>
      <c r="AJ45" s="129">
        <v>0</v>
      </c>
      <c r="AK45" s="129">
        <v>0</v>
      </c>
      <c r="AL45" s="129">
        <v>0</v>
      </c>
      <c r="AM45" s="129">
        <v>0</v>
      </c>
      <c r="AN45" s="129">
        <v>0</v>
      </c>
      <c r="AO45" s="129">
        <v>0</v>
      </c>
      <c r="AP45" s="129">
        <v>0</v>
      </c>
      <c r="AQ45" s="129">
        <v>0</v>
      </c>
      <c r="AR45" s="129">
        <v>0</v>
      </c>
      <c r="AS45" s="129">
        <v>0</v>
      </c>
      <c r="AT45" s="129">
        <v>0</v>
      </c>
      <c r="AU45" s="129">
        <v>0</v>
      </c>
      <c r="AV45" s="129">
        <v>0</v>
      </c>
      <c r="AW45" s="129">
        <v>0</v>
      </c>
      <c r="AX45" s="129">
        <v>0</v>
      </c>
      <c r="AY45" s="129">
        <v>0</v>
      </c>
      <c r="AZ45" s="129">
        <v>0</v>
      </c>
      <c r="BA45" s="129">
        <v>0</v>
      </c>
      <c r="BB45" s="129">
        <v>0</v>
      </c>
      <c r="BC45" s="129">
        <v>0</v>
      </c>
      <c r="BD45" s="129">
        <v>0</v>
      </c>
      <c r="BE45" s="129">
        <v>0</v>
      </c>
      <c r="BF45" s="129">
        <v>0</v>
      </c>
      <c r="BG45" s="129">
        <v>0</v>
      </c>
      <c r="BH45" s="129">
        <v>0</v>
      </c>
      <c r="BI45" s="129">
        <v>0</v>
      </c>
      <c r="BJ45" s="129">
        <v>0</v>
      </c>
      <c r="BK45" s="129">
        <v>0</v>
      </c>
      <c r="BL45" s="129">
        <v>0</v>
      </c>
      <c r="BM45" s="129">
        <v>0</v>
      </c>
      <c r="BN45" s="129">
        <v>0</v>
      </c>
      <c r="BO45" s="129">
        <v>0</v>
      </c>
      <c r="BP45" s="129">
        <v>0</v>
      </c>
      <c r="BQ45" s="129">
        <v>0</v>
      </c>
      <c r="BR45" s="129">
        <v>0</v>
      </c>
      <c r="BS45" s="129">
        <v>0</v>
      </c>
      <c r="BT45" s="129">
        <v>0</v>
      </c>
      <c r="BU45" s="129">
        <v>0</v>
      </c>
      <c r="BV45" s="129">
        <v>0</v>
      </c>
      <c r="BW45" s="129">
        <v>0</v>
      </c>
      <c r="BX45" s="129">
        <v>0</v>
      </c>
      <c r="BY45" s="129">
        <v>0</v>
      </c>
      <c r="BZ45" s="129">
        <v>0</v>
      </c>
      <c r="CA45" s="129">
        <v>0</v>
      </c>
      <c r="CB45" s="129">
        <v>0</v>
      </c>
      <c r="CC45" s="129">
        <v>0</v>
      </c>
      <c r="CD45" s="129">
        <v>0</v>
      </c>
      <c r="CE45" s="129">
        <v>0</v>
      </c>
      <c r="CF45" s="129">
        <v>0</v>
      </c>
      <c r="CG45" s="129">
        <v>0</v>
      </c>
      <c r="CH45" s="129">
        <v>0</v>
      </c>
      <c r="CI45" s="129">
        <v>0</v>
      </c>
      <c r="CJ45" s="129">
        <v>0</v>
      </c>
      <c r="CK45" s="129">
        <v>0</v>
      </c>
      <c r="CL45" s="129">
        <v>0</v>
      </c>
      <c r="CM45" s="129">
        <v>0</v>
      </c>
      <c r="CN45" s="129">
        <v>0</v>
      </c>
      <c r="CO45" s="129">
        <v>0</v>
      </c>
      <c r="CP45" s="129">
        <v>0</v>
      </c>
      <c r="CQ45" s="129">
        <v>0</v>
      </c>
      <c r="CR45" s="129">
        <v>0</v>
      </c>
      <c r="CS45" s="129">
        <v>0</v>
      </c>
      <c r="CT45" s="129">
        <v>0</v>
      </c>
      <c r="CU45" s="129">
        <v>0</v>
      </c>
      <c r="CV45" s="129">
        <v>0</v>
      </c>
      <c r="CW45" s="129">
        <v>0</v>
      </c>
      <c r="CX45" s="129">
        <v>0</v>
      </c>
      <c r="CY45" s="129">
        <v>0</v>
      </c>
      <c r="CZ45" s="129">
        <v>0</v>
      </c>
      <c r="DA45" s="129">
        <v>0</v>
      </c>
      <c r="DB45" s="129">
        <v>0</v>
      </c>
      <c r="DC45" s="129">
        <v>0</v>
      </c>
      <c r="DD45" s="129">
        <v>0</v>
      </c>
      <c r="DE45" s="129">
        <v>0</v>
      </c>
      <c r="DF45" s="129">
        <v>0</v>
      </c>
      <c r="DG45" s="129">
        <v>0</v>
      </c>
      <c r="DH45" s="129">
        <v>0</v>
      </c>
      <c r="DI45" s="129">
        <v>0</v>
      </c>
      <c r="DJ45" s="129">
        <v>0</v>
      </c>
      <c r="DK45" s="129">
        <v>0</v>
      </c>
      <c r="DL45" s="129">
        <v>0</v>
      </c>
      <c r="DM45" s="129">
        <v>0</v>
      </c>
      <c r="DN45" s="129">
        <v>0</v>
      </c>
      <c r="DO45" s="129">
        <v>0</v>
      </c>
      <c r="DP45" s="129">
        <v>0</v>
      </c>
      <c r="DQ45" s="129">
        <v>0</v>
      </c>
      <c r="DR45" s="129">
        <v>0</v>
      </c>
      <c r="DS45" s="129">
        <v>0</v>
      </c>
      <c r="DT45" s="129">
        <v>0</v>
      </c>
      <c r="DU45" s="129">
        <v>0</v>
      </c>
      <c r="DV45" s="129">
        <v>0</v>
      </c>
      <c r="DW45" s="129">
        <v>0</v>
      </c>
      <c r="DX45" s="129">
        <v>0</v>
      </c>
      <c r="DY45" s="129">
        <v>0</v>
      </c>
      <c r="DZ45" s="129">
        <v>0</v>
      </c>
      <c r="EA45" s="129">
        <v>0</v>
      </c>
      <c r="EB45" s="129">
        <v>0</v>
      </c>
      <c r="EC45" s="129">
        <v>0</v>
      </c>
      <c r="ED45" s="129">
        <v>0</v>
      </c>
      <c r="EE45" s="129">
        <v>0</v>
      </c>
      <c r="EF45" s="129">
        <v>0</v>
      </c>
      <c r="EG45" s="129">
        <v>0</v>
      </c>
      <c r="EH45" s="129">
        <v>0</v>
      </c>
      <c r="EI45" s="129">
        <v>0</v>
      </c>
      <c r="EJ45" s="129">
        <v>0</v>
      </c>
      <c r="EK45" s="129">
        <v>0</v>
      </c>
      <c r="EL45" s="129">
        <v>0</v>
      </c>
      <c r="EM45" s="129">
        <v>0</v>
      </c>
      <c r="EN45" s="129">
        <v>0</v>
      </c>
      <c r="EO45" s="129">
        <v>0</v>
      </c>
      <c r="EP45" s="129">
        <v>0</v>
      </c>
      <c r="EQ45" s="129">
        <v>0</v>
      </c>
      <c r="ER45" s="129">
        <v>0</v>
      </c>
      <c r="ES45" s="129">
        <v>0</v>
      </c>
      <c r="ET45" s="129">
        <v>0</v>
      </c>
      <c r="EU45" s="129">
        <v>0</v>
      </c>
      <c r="EV45" s="129">
        <v>0</v>
      </c>
      <c r="EW45" s="129">
        <v>0</v>
      </c>
      <c r="EX45" s="129">
        <v>0</v>
      </c>
      <c r="EY45" s="129">
        <v>0</v>
      </c>
      <c r="EZ45" s="129">
        <v>0</v>
      </c>
      <c r="FA45" s="129">
        <v>0</v>
      </c>
      <c r="FB45" s="129">
        <v>0</v>
      </c>
      <c r="FC45" s="129">
        <v>0</v>
      </c>
      <c r="FD45" s="129">
        <v>0</v>
      </c>
      <c r="FE45" s="129">
        <v>0</v>
      </c>
      <c r="FF45" s="129">
        <v>0</v>
      </c>
      <c r="FG45" s="129">
        <v>0</v>
      </c>
      <c r="FH45" s="129">
        <v>0</v>
      </c>
      <c r="FI45" s="129">
        <v>0</v>
      </c>
      <c r="FJ45" s="129">
        <v>0</v>
      </c>
      <c r="FK45" s="129">
        <v>0</v>
      </c>
      <c r="FL45" s="129">
        <v>0</v>
      </c>
      <c r="FM45" s="129">
        <v>0</v>
      </c>
      <c r="FN45" s="129">
        <v>0</v>
      </c>
      <c r="FO45" s="129">
        <v>0</v>
      </c>
      <c r="FP45" s="129">
        <v>0</v>
      </c>
      <c r="FQ45" s="129">
        <v>0</v>
      </c>
      <c r="FR45" s="129">
        <v>0</v>
      </c>
      <c r="FS45" s="129">
        <v>0</v>
      </c>
      <c r="FT45" s="129">
        <v>0</v>
      </c>
      <c r="FU45" s="129">
        <v>0</v>
      </c>
      <c r="FV45" s="129">
        <v>0</v>
      </c>
      <c r="FW45" s="129">
        <v>0</v>
      </c>
      <c r="FX45" s="129">
        <v>0</v>
      </c>
      <c r="FY45" s="129">
        <v>0</v>
      </c>
      <c r="FZ45" s="129">
        <v>0</v>
      </c>
      <c r="GA45" s="129">
        <v>0</v>
      </c>
      <c r="GB45" s="129">
        <v>0</v>
      </c>
      <c r="GC45" s="129">
        <v>0</v>
      </c>
      <c r="GD45" s="129">
        <v>0</v>
      </c>
      <c r="GE45" s="129">
        <v>0</v>
      </c>
      <c r="GF45" s="129">
        <v>0</v>
      </c>
      <c r="GG45" s="129">
        <v>0</v>
      </c>
      <c r="GH45" s="129">
        <v>0</v>
      </c>
      <c r="GI45" s="129">
        <v>0</v>
      </c>
      <c r="GJ45" s="129">
        <v>0</v>
      </c>
      <c r="GK45" s="129">
        <v>0</v>
      </c>
      <c r="GL45" s="129">
        <v>0</v>
      </c>
      <c r="GM45" s="129">
        <v>0</v>
      </c>
      <c r="GN45" s="129">
        <v>0</v>
      </c>
      <c r="GO45" s="129">
        <v>0</v>
      </c>
      <c r="GP45" s="129">
        <v>0</v>
      </c>
      <c r="GQ45" s="129">
        <v>0</v>
      </c>
      <c r="GR45" s="129">
        <v>0</v>
      </c>
      <c r="GS45" s="129">
        <v>0</v>
      </c>
      <c r="GT45" s="129">
        <v>0</v>
      </c>
      <c r="GU45" s="129">
        <v>0</v>
      </c>
      <c r="GV45" s="129">
        <v>0</v>
      </c>
      <c r="GW45" s="129">
        <v>0</v>
      </c>
      <c r="GX45" s="129">
        <v>0</v>
      </c>
      <c r="GY45" s="129">
        <v>0</v>
      </c>
      <c r="GZ45" s="129">
        <v>0</v>
      </c>
      <c r="HA45" s="129">
        <v>0</v>
      </c>
      <c r="HB45" s="129">
        <v>0</v>
      </c>
      <c r="HC45" s="129">
        <v>0</v>
      </c>
      <c r="HD45" s="129">
        <v>0</v>
      </c>
      <c r="HE45" s="129">
        <v>0</v>
      </c>
      <c r="HF45" s="129">
        <v>0</v>
      </c>
      <c r="HG45" s="129">
        <v>0</v>
      </c>
      <c r="HH45" s="129">
        <v>0</v>
      </c>
      <c r="HI45" s="129">
        <v>0</v>
      </c>
      <c r="HJ45" s="129">
        <v>0</v>
      </c>
      <c r="HK45" s="129">
        <v>0</v>
      </c>
      <c r="HL45" s="129">
        <v>0</v>
      </c>
      <c r="HM45" s="129">
        <v>0</v>
      </c>
      <c r="HN45" s="129">
        <v>0</v>
      </c>
      <c r="HO45" s="129">
        <v>0</v>
      </c>
      <c r="HP45" s="129">
        <v>0</v>
      </c>
      <c r="HQ45" s="129">
        <v>0</v>
      </c>
      <c r="HR45" s="129">
        <v>0</v>
      </c>
      <c r="HS45" s="129">
        <v>0</v>
      </c>
      <c r="HT45" s="129">
        <v>0</v>
      </c>
      <c r="HU45" s="129">
        <v>0</v>
      </c>
      <c r="HV45" s="129">
        <v>0</v>
      </c>
      <c r="HW45" s="129">
        <v>0</v>
      </c>
      <c r="HX45" s="129">
        <v>0</v>
      </c>
      <c r="HY45" s="129">
        <v>0</v>
      </c>
      <c r="HZ45" s="129">
        <v>0</v>
      </c>
      <c r="IA45" s="129">
        <v>0</v>
      </c>
      <c r="IB45" s="129">
        <v>0</v>
      </c>
      <c r="IC45" s="129">
        <v>0</v>
      </c>
      <c r="ID45" s="129">
        <v>0</v>
      </c>
      <c r="IE45" s="129">
        <v>0</v>
      </c>
      <c r="IF45" s="129">
        <v>0</v>
      </c>
      <c r="IG45" s="129">
        <v>0</v>
      </c>
      <c r="IH45" s="129">
        <v>0</v>
      </c>
      <c r="II45" s="129">
        <v>0</v>
      </c>
      <c r="IJ45" s="129">
        <v>0</v>
      </c>
      <c r="IK45" s="129">
        <v>0</v>
      </c>
      <c r="IL45" s="129">
        <v>0</v>
      </c>
      <c r="IM45" s="129">
        <v>0</v>
      </c>
      <c r="IN45" s="129">
        <v>0</v>
      </c>
      <c r="IO45" s="129">
        <v>0</v>
      </c>
      <c r="IP45" s="129">
        <v>0</v>
      </c>
      <c r="IQ45" s="129">
        <v>0</v>
      </c>
      <c r="IR45" s="129">
        <v>0</v>
      </c>
      <c r="IS45" s="129">
        <v>0</v>
      </c>
      <c r="IT45" s="129">
        <v>0</v>
      </c>
      <c r="IU45" s="129">
        <v>0</v>
      </c>
      <c r="IV45" s="129">
        <v>0</v>
      </c>
      <c r="IW45" s="129">
        <v>0</v>
      </c>
      <c r="IX45" s="129">
        <v>0</v>
      </c>
      <c r="IY45" s="129">
        <v>0</v>
      </c>
      <c r="IZ45" s="129">
        <v>0</v>
      </c>
      <c r="JA45" s="129">
        <v>0</v>
      </c>
      <c r="JB45" s="129">
        <v>0</v>
      </c>
      <c r="JC45" s="129">
        <v>0</v>
      </c>
      <c r="JD45" s="129">
        <v>0</v>
      </c>
      <c r="JE45" s="129">
        <v>0</v>
      </c>
      <c r="JF45" s="129">
        <v>0</v>
      </c>
      <c r="JG45" s="129">
        <v>0</v>
      </c>
      <c r="JH45" s="129">
        <v>0</v>
      </c>
      <c r="JI45" s="129">
        <v>0</v>
      </c>
      <c r="JJ45" s="129">
        <v>0</v>
      </c>
      <c r="JK45" s="129">
        <v>0</v>
      </c>
      <c r="JL45" s="129">
        <v>0</v>
      </c>
      <c r="JM45" s="129">
        <v>0</v>
      </c>
      <c r="JN45" s="129">
        <v>0</v>
      </c>
      <c r="JO45" s="129">
        <v>0</v>
      </c>
      <c r="JP45" s="129">
        <v>0</v>
      </c>
      <c r="JQ45" s="129">
        <v>0</v>
      </c>
      <c r="JR45" s="129">
        <v>0</v>
      </c>
      <c r="JS45" s="129">
        <v>0</v>
      </c>
      <c r="JT45" s="129">
        <v>0</v>
      </c>
      <c r="JU45" s="129">
        <v>0</v>
      </c>
      <c r="JV45" s="129">
        <v>0</v>
      </c>
      <c r="JW45" s="129">
        <v>0</v>
      </c>
      <c r="JX45" s="129">
        <v>0</v>
      </c>
      <c r="JY45" s="129">
        <v>0</v>
      </c>
      <c r="JZ45" s="129">
        <v>0</v>
      </c>
      <c r="KA45" s="129">
        <v>0</v>
      </c>
      <c r="KB45" s="129">
        <v>0</v>
      </c>
      <c r="KC45" s="129">
        <v>0</v>
      </c>
      <c r="KD45" s="129">
        <v>0</v>
      </c>
      <c r="KE45" s="129">
        <v>0</v>
      </c>
      <c r="KF45" s="129">
        <v>0</v>
      </c>
      <c r="KG45" s="129">
        <v>0</v>
      </c>
      <c r="KH45" s="129">
        <v>0</v>
      </c>
      <c r="KI45" s="129">
        <v>0</v>
      </c>
      <c r="KJ45" s="129">
        <v>0</v>
      </c>
      <c r="KK45" s="129">
        <v>0</v>
      </c>
      <c r="KL45" s="129">
        <v>0</v>
      </c>
      <c r="KM45" s="129">
        <v>0</v>
      </c>
      <c r="KN45" s="129">
        <v>0</v>
      </c>
      <c r="KO45" s="129">
        <v>0</v>
      </c>
      <c r="KP45" s="129">
        <v>0</v>
      </c>
      <c r="KQ45" s="129">
        <v>0</v>
      </c>
      <c r="KR45" s="129">
        <v>0</v>
      </c>
      <c r="KS45" s="129">
        <v>0</v>
      </c>
      <c r="KT45" s="129">
        <v>0</v>
      </c>
      <c r="KU45" s="129">
        <v>0</v>
      </c>
      <c r="KV45" s="129">
        <v>0</v>
      </c>
      <c r="KW45" s="129">
        <v>0</v>
      </c>
      <c r="KX45" s="129">
        <v>0</v>
      </c>
      <c r="KY45" s="129">
        <v>0</v>
      </c>
      <c r="KZ45" s="129">
        <v>0</v>
      </c>
      <c r="LA45" s="129">
        <v>0</v>
      </c>
      <c r="LB45" s="129">
        <v>0</v>
      </c>
      <c r="LC45" s="129">
        <v>0</v>
      </c>
      <c r="LD45" s="129">
        <v>0</v>
      </c>
      <c r="LE45" s="129">
        <v>0</v>
      </c>
      <c r="LF45" s="129">
        <v>0</v>
      </c>
      <c r="LG45" s="129">
        <v>0</v>
      </c>
      <c r="LH45" s="129">
        <v>0</v>
      </c>
      <c r="LI45" s="129">
        <v>0</v>
      </c>
      <c r="LJ45" s="129">
        <v>0</v>
      </c>
      <c r="LK45" s="129">
        <v>0</v>
      </c>
      <c r="LL45" s="129">
        <v>0</v>
      </c>
      <c r="LM45" s="129">
        <v>0</v>
      </c>
      <c r="LN45" s="129">
        <v>0</v>
      </c>
      <c r="LO45" s="129">
        <v>0</v>
      </c>
      <c r="LP45" s="129">
        <v>0</v>
      </c>
      <c r="LQ45" s="129">
        <v>0</v>
      </c>
      <c r="LR45" s="129">
        <v>0</v>
      </c>
      <c r="LS45" s="129">
        <v>0</v>
      </c>
      <c r="LT45" s="129">
        <v>0</v>
      </c>
      <c r="LU45" s="129">
        <v>0</v>
      </c>
      <c r="LV45" s="129">
        <v>0</v>
      </c>
      <c r="LW45" s="129">
        <v>0</v>
      </c>
      <c r="LX45" s="129">
        <v>0</v>
      </c>
      <c r="LY45" s="129">
        <v>0</v>
      </c>
      <c r="LZ45" s="129">
        <v>0</v>
      </c>
      <c r="MA45" s="129">
        <v>0</v>
      </c>
      <c r="MB45" s="129">
        <v>0</v>
      </c>
      <c r="MC45" s="129">
        <v>0</v>
      </c>
      <c r="MD45" s="129">
        <v>0</v>
      </c>
      <c r="ME45" s="129">
        <v>0</v>
      </c>
      <c r="MF45" s="129">
        <v>0</v>
      </c>
      <c r="MG45" s="129">
        <v>0</v>
      </c>
      <c r="MH45" s="129">
        <v>0</v>
      </c>
      <c r="MI45" s="129">
        <v>0</v>
      </c>
      <c r="MJ45" s="129">
        <v>0</v>
      </c>
      <c r="MK45" s="129">
        <v>0</v>
      </c>
      <c r="ML45" s="129">
        <v>0</v>
      </c>
      <c r="MM45" s="129">
        <v>0</v>
      </c>
      <c r="MN45" s="129">
        <v>0</v>
      </c>
      <c r="MO45" s="129">
        <v>0</v>
      </c>
      <c r="MP45" s="129">
        <v>0</v>
      </c>
      <c r="MQ45" s="129">
        <v>0</v>
      </c>
      <c r="MR45" s="129">
        <v>0</v>
      </c>
      <c r="MS45" s="129">
        <v>0</v>
      </c>
      <c r="MT45" s="129">
        <v>0</v>
      </c>
      <c r="MU45" s="129">
        <v>0</v>
      </c>
      <c r="MV45" s="129">
        <v>0</v>
      </c>
      <c r="MW45" s="129">
        <v>0</v>
      </c>
      <c r="MX45" s="129">
        <v>0</v>
      </c>
      <c r="MY45" s="129">
        <v>0</v>
      </c>
      <c r="MZ45" s="129">
        <v>0</v>
      </c>
      <c r="NA45" s="129">
        <v>0</v>
      </c>
      <c r="NB45" s="129">
        <v>0</v>
      </c>
      <c r="NC45" s="129">
        <v>0</v>
      </c>
      <c r="ND45" s="129">
        <v>0</v>
      </c>
      <c r="NE45" s="129">
        <v>0</v>
      </c>
      <c r="NF45" s="129">
        <v>0</v>
      </c>
      <c r="NG45" s="129">
        <v>0</v>
      </c>
      <c r="NH45" s="129">
        <v>0</v>
      </c>
      <c r="NI45" s="129">
        <v>0</v>
      </c>
      <c r="NJ45" s="129">
        <v>0</v>
      </c>
      <c r="NK45" s="129">
        <v>0</v>
      </c>
      <c r="NL45" s="129">
        <v>0</v>
      </c>
      <c r="NM45" s="129">
        <v>0</v>
      </c>
      <c r="NN45" s="129">
        <v>0</v>
      </c>
      <c r="NO45" s="129">
        <v>0</v>
      </c>
      <c r="NP45" s="129">
        <v>0</v>
      </c>
      <c r="NQ45" s="129">
        <v>0</v>
      </c>
      <c r="NR45" s="129">
        <v>0</v>
      </c>
      <c r="NS45" s="129">
        <v>0</v>
      </c>
      <c r="NT45" s="129">
        <v>0</v>
      </c>
      <c r="NU45" s="129">
        <v>0</v>
      </c>
      <c r="NV45" s="129">
        <v>0</v>
      </c>
      <c r="NW45" s="129">
        <v>0</v>
      </c>
      <c r="NX45" s="129">
        <v>0</v>
      </c>
      <c r="NY45" s="129">
        <v>0</v>
      </c>
      <c r="NZ45" s="129">
        <v>0</v>
      </c>
      <c r="OA45" s="129">
        <v>0</v>
      </c>
      <c r="OB45" s="129">
        <v>0</v>
      </c>
      <c r="OC45" s="129">
        <v>0</v>
      </c>
      <c r="OD45" s="129">
        <v>0</v>
      </c>
      <c r="OE45" s="129">
        <v>0</v>
      </c>
      <c r="OF45" s="129">
        <v>0</v>
      </c>
      <c r="OG45" s="129">
        <v>0</v>
      </c>
      <c r="OH45" s="133">
        <v>0</v>
      </c>
    </row>
    <row r="46" spans="1:398" x14ac:dyDescent="0.35">
      <c r="A46" s="102"/>
      <c r="B46" s="168">
        <f t="shared" si="8"/>
        <v>18</v>
      </c>
      <c r="C46" s="171" t="s">
        <v>903</v>
      </c>
      <c r="D46" s="124" t="s">
        <v>904</v>
      </c>
      <c r="E46" s="124" t="s">
        <v>909</v>
      </c>
      <c r="F46" s="125" t="s">
        <v>958</v>
      </c>
      <c r="G46" s="163" t="s">
        <v>738</v>
      </c>
      <c r="H46" s="163" t="s">
        <v>912</v>
      </c>
      <c r="I46" s="166">
        <v>0</v>
      </c>
      <c r="J46" s="166">
        <v>0</v>
      </c>
      <c r="K46" s="166">
        <v>0</v>
      </c>
      <c r="L46" s="166">
        <v>0</v>
      </c>
      <c r="M46" s="166">
        <v>0</v>
      </c>
      <c r="N46" s="166">
        <v>0</v>
      </c>
      <c r="O46" s="164">
        <f>SUM(P46,R46)</f>
        <v>0</v>
      </c>
      <c r="P46" s="166">
        <v>0</v>
      </c>
      <c r="Q46" s="166">
        <v>0</v>
      </c>
      <c r="R46" s="165"/>
      <c r="S46" s="165"/>
      <c r="T46" s="166">
        <v>0</v>
      </c>
      <c r="U46" s="166">
        <v>0</v>
      </c>
      <c r="V46" s="166">
        <v>0</v>
      </c>
      <c r="W46" s="129">
        <v>0</v>
      </c>
      <c r="X46" s="129">
        <v>0</v>
      </c>
      <c r="Y46" s="129">
        <v>0</v>
      </c>
      <c r="Z46" s="129">
        <v>0</v>
      </c>
      <c r="AA46" s="129">
        <v>0</v>
      </c>
      <c r="AB46" s="129">
        <v>0</v>
      </c>
      <c r="AC46" s="129">
        <v>0</v>
      </c>
      <c r="AD46" s="129">
        <v>0</v>
      </c>
      <c r="AE46" s="129">
        <v>0</v>
      </c>
      <c r="AF46" s="129">
        <v>0</v>
      </c>
      <c r="AG46" s="129">
        <v>0</v>
      </c>
      <c r="AH46" s="129">
        <v>0</v>
      </c>
      <c r="AI46" s="129">
        <v>0</v>
      </c>
      <c r="AJ46" s="129">
        <v>0</v>
      </c>
      <c r="AK46" s="129">
        <v>0</v>
      </c>
      <c r="AL46" s="129">
        <v>0</v>
      </c>
      <c r="AM46" s="129">
        <v>0</v>
      </c>
      <c r="AN46" s="129">
        <v>0</v>
      </c>
      <c r="AO46" s="129">
        <v>0</v>
      </c>
      <c r="AP46" s="129">
        <v>0</v>
      </c>
      <c r="AQ46" s="129">
        <v>0</v>
      </c>
      <c r="AR46" s="129">
        <v>0</v>
      </c>
      <c r="AS46" s="129">
        <v>0</v>
      </c>
      <c r="AT46" s="129">
        <v>0</v>
      </c>
      <c r="AU46" s="129">
        <v>0</v>
      </c>
      <c r="AV46" s="129">
        <v>0</v>
      </c>
      <c r="AW46" s="129">
        <v>0</v>
      </c>
      <c r="AX46" s="129">
        <v>0</v>
      </c>
      <c r="AY46" s="129">
        <v>0</v>
      </c>
      <c r="AZ46" s="129">
        <v>0</v>
      </c>
      <c r="BA46" s="129">
        <v>0</v>
      </c>
      <c r="BB46" s="129">
        <v>0</v>
      </c>
      <c r="BC46" s="129">
        <v>0</v>
      </c>
      <c r="BD46" s="129">
        <v>0</v>
      </c>
      <c r="BE46" s="129">
        <v>0</v>
      </c>
      <c r="BF46" s="129">
        <v>0</v>
      </c>
      <c r="BG46" s="129">
        <v>0</v>
      </c>
      <c r="BH46" s="129">
        <v>0</v>
      </c>
      <c r="BI46" s="129">
        <v>0</v>
      </c>
      <c r="BJ46" s="129">
        <v>0</v>
      </c>
      <c r="BK46" s="129">
        <v>0</v>
      </c>
      <c r="BL46" s="129">
        <v>0</v>
      </c>
      <c r="BM46" s="129">
        <v>0</v>
      </c>
      <c r="BN46" s="129">
        <v>0</v>
      </c>
      <c r="BO46" s="129">
        <v>0</v>
      </c>
      <c r="BP46" s="129">
        <v>0</v>
      </c>
      <c r="BQ46" s="129">
        <v>0</v>
      </c>
      <c r="BR46" s="129">
        <v>0</v>
      </c>
      <c r="BS46" s="129">
        <v>0</v>
      </c>
      <c r="BT46" s="129">
        <v>0</v>
      </c>
      <c r="BU46" s="129">
        <v>0</v>
      </c>
      <c r="BV46" s="129">
        <v>0</v>
      </c>
      <c r="BW46" s="129">
        <v>0</v>
      </c>
      <c r="BX46" s="129">
        <v>0</v>
      </c>
      <c r="BY46" s="129">
        <v>0</v>
      </c>
      <c r="BZ46" s="129">
        <v>0</v>
      </c>
      <c r="CA46" s="129">
        <v>0</v>
      </c>
      <c r="CB46" s="129">
        <v>0</v>
      </c>
      <c r="CC46" s="129">
        <v>0</v>
      </c>
      <c r="CD46" s="129">
        <v>0</v>
      </c>
      <c r="CE46" s="129">
        <v>0</v>
      </c>
      <c r="CF46" s="129">
        <v>0</v>
      </c>
      <c r="CG46" s="129">
        <v>0</v>
      </c>
      <c r="CH46" s="129">
        <v>0</v>
      </c>
      <c r="CI46" s="129">
        <v>0</v>
      </c>
      <c r="CJ46" s="129">
        <v>0</v>
      </c>
      <c r="CK46" s="129">
        <v>0</v>
      </c>
      <c r="CL46" s="129">
        <v>0</v>
      </c>
      <c r="CM46" s="129">
        <v>0</v>
      </c>
      <c r="CN46" s="129">
        <v>0</v>
      </c>
      <c r="CO46" s="129">
        <v>0</v>
      </c>
      <c r="CP46" s="129">
        <v>0</v>
      </c>
      <c r="CQ46" s="129">
        <v>0</v>
      </c>
      <c r="CR46" s="129">
        <v>0</v>
      </c>
      <c r="CS46" s="129">
        <v>0</v>
      </c>
      <c r="CT46" s="129">
        <v>0</v>
      </c>
      <c r="CU46" s="129">
        <v>0</v>
      </c>
      <c r="CV46" s="129">
        <v>0</v>
      </c>
      <c r="CW46" s="129">
        <v>0</v>
      </c>
      <c r="CX46" s="129">
        <v>0</v>
      </c>
      <c r="CY46" s="129">
        <v>0</v>
      </c>
      <c r="CZ46" s="129">
        <v>0</v>
      </c>
      <c r="DA46" s="129">
        <v>0</v>
      </c>
      <c r="DB46" s="129">
        <v>0</v>
      </c>
      <c r="DC46" s="129">
        <v>0</v>
      </c>
      <c r="DD46" s="129">
        <v>0</v>
      </c>
      <c r="DE46" s="129">
        <v>0</v>
      </c>
      <c r="DF46" s="129">
        <v>0</v>
      </c>
      <c r="DG46" s="129">
        <v>0</v>
      </c>
      <c r="DH46" s="129">
        <v>0</v>
      </c>
      <c r="DI46" s="129">
        <v>0</v>
      </c>
      <c r="DJ46" s="129">
        <v>0</v>
      </c>
      <c r="DK46" s="129">
        <v>0</v>
      </c>
      <c r="DL46" s="129">
        <v>0</v>
      </c>
      <c r="DM46" s="129">
        <v>0</v>
      </c>
      <c r="DN46" s="129">
        <v>0</v>
      </c>
      <c r="DO46" s="129">
        <v>0</v>
      </c>
      <c r="DP46" s="129">
        <v>0</v>
      </c>
      <c r="DQ46" s="129">
        <v>0</v>
      </c>
      <c r="DR46" s="129">
        <v>0</v>
      </c>
      <c r="DS46" s="129">
        <v>0</v>
      </c>
      <c r="DT46" s="129">
        <v>0</v>
      </c>
      <c r="DU46" s="129">
        <v>0</v>
      </c>
      <c r="DV46" s="129">
        <v>0</v>
      </c>
      <c r="DW46" s="129">
        <v>0</v>
      </c>
      <c r="DX46" s="129">
        <v>0</v>
      </c>
      <c r="DY46" s="129">
        <v>0</v>
      </c>
      <c r="DZ46" s="129">
        <v>0</v>
      </c>
      <c r="EA46" s="129">
        <v>0</v>
      </c>
      <c r="EB46" s="129">
        <v>0</v>
      </c>
      <c r="EC46" s="129">
        <v>0</v>
      </c>
      <c r="ED46" s="129">
        <v>0</v>
      </c>
      <c r="EE46" s="129">
        <v>0</v>
      </c>
      <c r="EF46" s="129">
        <v>0</v>
      </c>
      <c r="EG46" s="129">
        <v>0</v>
      </c>
      <c r="EH46" s="129">
        <v>0</v>
      </c>
      <c r="EI46" s="129">
        <v>0</v>
      </c>
      <c r="EJ46" s="129">
        <v>0</v>
      </c>
      <c r="EK46" s="129">
        <v>0</v>
      </c>
      <c r="EL46" s="129">
        <v>0</v>
      </c>
      <c r="EM46" s="129">
        <v>0</v>
      </c>
      <c r="EN46" s="129">
        <v>0</v>
      </c>
      <c r="EO46" s="129">
        <v>0</v>
      </c>
      <c r="EP46" s="129">
        <v>0</v>
      </c>
      <c r="EQ46" s="129">
        <v>0</v>
      </c>
      <c r="ER46" s="129">
        <v>0</v>
      </c>
      <c r="ES46" s="129">
        <v>0</v>
      </c>
      <c r="ET46" s="129">
        <v>0</v>
      </c>
      <c r="EU46" s="129">
        <v>0</v>
      </c>
      <c r="EV46" s="129">
        <v>0</v>
      </c>
      <c r="EW46" s="129">
        <v>0</v>
      </c>
      <c r="EX46" s="129">
        <v>0</v>
      </c>
      <c r="EY46" s="129">
        <v>0</v>
      </c>
      <c r="EZ46" s="129">
        <v>0</v>
      </c>
      <c r="FA46" s="129">
        <v>0</v>
      </c>
      <c r="FB46" s="129">
        <v>0</v>
      </c>
      <c r="FC46" s="129">
        <v>0</v>
      </c>
      <c r="FD46" s="129">
        <v>0</v>
      </c>
      <c r="FE46" s="129">
        <v>0</v>
      </c>
      <c r="FF46" s="129">
        <v>0</v>
      </c>
      <c r="FG46" s="129">
        <v>0</v>
      </c>
      <c r="FH46" s="129">
        <v>0</v>
      </c>
      <c r="FI46" s="129">
        <v>0</v>
      </c>
      <c r="FJ46" s="129">
        <v>0</v>
      </c>
      <c r="FK46" s="129">
        <v>0</v>
      </c>
      <c r="FL46" s="129">
        <v>0</v>
      </c>
      <c r="FM46" s="129">
        <v>0</v>
      </c>
      <c r="FN46" s="129">
        <v>0</v>
      </c>
      <c r="FO46" s="129">
        <v>0</v>
      </c>
      <c r="FP46" s="129">
        <v>0</v>
      </c>
      <c r="FQ46" s="129">
        <v>0</v>
      </c>
      <c r="FR46" s="129">
        <v>0</v>
      </c>
      <c r="FS46" s="129">
        <v>0</v>
      </c>
      <c r="FT46" s="129">
        <v>0</v>
      </c>
      <c r="FU46" s="129">
        <v>0</v>
      </c>
      <c r="FV46" s="129">
        <v>0</v>
      </c>
      <c r="FW46" s="129">
        <v>0</v>
      </c>
      <c r="FX46" s="129">
        <v>0</v>
      </c>
      <c r="FY46" s="129">
        <v>0</v>
      </c>
      <c r="FZ46" s="129">
        <v>0</v>
      </c>
      <c r="GA46" s="129">
        <v>0</v>
      </c>
      <c r="GB46" s="129">
        <v>0</v>
      </c>
      <c r="GC46" s="129">
        <v>0</v>
      </c>
      <c r="GD46" s="129">
        <v>0</v>
      </c>
      <c r="GE46" s="129">
        <v>0</v>
      </c>
      <c r="GF46" s="129">
        <v>0</v>
      </c>
      <c r="GG46" s="129">
        <v>0</v>
      </c>
      <c r="GH46" s="129">
        <v>0</v>
      </c>
      <c r="GI46" s="129">
        <v>0</v>
      </c>
      <c r="GJ46" s="129">
        <v>0</v>
      </c>
      <c r="GK46" s="129">
        <v>0</v>
      </c>
      <c r="GL46" s="129">
        <v>0</v>
      </c>
      <c r="GM46" s="129">
        <v>0</v>
      </c>
      <c r="GN46" s="129">
        <v>0</v>
      </c>
      <c r="GO46" s="129">
        <v>0</v>
      </c>
      <c r="GP46" s="129">
        <v>0</v>
      </c>
      <c r="GQ46" s="129">
        <v>0</v>
      </c>
      <c r="GR46" s="129">
        <v>0</v>
      </c>
      <c r="GS46" s="129">
        <v>0</v>
      </c>
      <c r="GT46" s="129">
        <v>0</v>
      </c>
      <c r="GU46" s="129">
        <v>0</v>
      </c>
      <c r="GV46" s="129">
        <v>0</v>
      </c>
      <c r="GW46" s="129">
        <v>0</v>
      </c>
      <c r="GX46" s="129">
        <v>0</v>
      </c>
      <c r="GY46" s="129">
        <v>0</v>
      </c>
      <c r="GZ46" s="129">
        <v>0</v>
      </c>
      <c r="HA46" s="129">
        <v>0</v>
      </c>
      <c r="HB46" s="129">
        <v>0</v>
      </c>
      <c r="HC46" s="129">
        <v>0</v>
      </c>
      <c r="HD46" s="129">
        <v>0</v>
      </c>
      <c r="HE46" s="129">
        <v>0</v>
      </c>
      <c r="HF46" s="129">
        <v>0</v>
      </c>
      <c r="HG46" s="129">
        <v>0</v>
      </c>
      <c r="HH46" s="129">
        <v>0</v>
      </c>
      <c r="HI46" s="129">
        <v>0</v>
      </c>
      <c r="HJ46" s="129">
        <v>0</v>
      </c>
      <c r="HK46" s="129">
        <v>0</v>
      </c>
      <c r="HL46" s="129">
        <v>0</v>
      </c>
      <c r="HM46" s="129">
        <v>0</v>
      </c>
      <c r="HN46" s="129">
        <v>0</v>
      </c>
      <c r="HO46" s="129">
        <v>0</v>
      </c>
      <c r="HP46" s="129">
        <v>0</v>
      </c>
      <c r="HQ46" s="129">
        <v>0</v>
      </c>
      <c r="HR46" s="129">
        <v>0</v>
      </c>
      <c r="HS46" s="129">
        <v>0</v>
      </c>
      <c r="HT46" s="129">
        <v>0</v>
      </c>
      <c r="HU46" s="129">
        <v>0</v>
      </c>
      <c r="HV46" s="129">
        <v>0</v>
      </c>
      <c r="HW46" s="129">
        <v>0</v>
      </c>
      <c r="HX46" s="129">
        <v>0</v>
      </c>
      <c r="HY46" s="129">
        <v>0</v>
      </c>
      <c r="HZ46" s="129">
        <v>0</v>
      </c>
      <c r="IA46" s="129">
        <v>0</v>
      </c>
      <c r="IB46" s="129">
        <v>0</v>
      </c>
      <c r="IC46" s="129">
        <v>0</v>
      </c>
      <c r="ID46" s="129">
        <v>0</v>
      </c>
      <c r="IE46" s="129">
        <v>0</v>
      </c>
      <c r="IF46" s="129">
        <v>0</v>
      </c>
      <c r="IG46" s="129">
        <v>0</v>
      </c>
      <c r="IH46" s="129">
        <v>0</v>
      </c>
      <c r="II46" s="129">
        <v>0</v>
      </c>
      <c r="IJ46" s="129">
        <v>0</v>
      </c>
      <c r="IK46" s="129">
        <v>0</v>
      </c>
      <c r="IL46" s="129">
        <v>0</v>
      </c>
      <c r="IM46" s="129">
        <v>0</v>
      </c>
      <c r="IN46" s="129">
        <v>0</v>
      </c>
      <c r="IO46" s="129">
        <v>0</v>
      </c>
      <c r="IP46" s="129">
        <v>0</v>
      </c>
      <c r="IQ46" s="129">
        <v>0</v>
      </c>
      <c r="IR46" s="129">
        <v>0</v>
      </c>
      <c r="IS46" s="129">
        <v>0</v>
      </c>
      <c r="IT46" s="129">
        <v>0</v>
      </c>
      <c r="IU46" s="129">
        <v>0</v>
      </c>
      <c r="IV46" s="129">
        <v>0</v>
      </c>
      <c r="IW46" s="129">
        <v>0</v>
      </c>
      <c r="IX46" s="129">
        <v>0</v>
      </c>
      <c r="IY46" s="129">
        <v>0</v>
      </c>
      <c r="IZ46" s="129">
        <v>0</v>
      </c>
      <c r="JA46" s="129">
        <v>0</v>
      </c>
      <c r="JB46" s="129">
        <v>0</v>
      </c>
      <c r="JC46" s="129">
        <v>0</v>
      </c>
      <c r="JD46" s="129">
        <v>0</v>
      </c>
      <c r="JE46" s="129">
        <v>0</v>
      </c>
      <c r="JF46" s="129">
        <v>0</v>
      </c>
      <c r="JG46" s="129">
        <v>0</v>
      </c>
      <c r="JH46" s="129">
        <v>0</v>
      </c>
      <c r="JI46" s="129">
        <v>0</v>
      </c>
      <c r="JJ46" s="129">
        <v>0</v>
      </c>
      <c r="JK46" s="129">
        <v>0</v>
      </c>
      <c r="JL46" s="129">
        <v>0</v>
      </c>
      <c r="JM46" s="129">
        <v>0</v>
      </c>
      <c r="JN46" s="129">
        <v>0</v>
      </c>
      <c r="JO46" s="129">
        <v>0</v>
      </c>
      <c r="JP46" s="129">
        <v>0</v>
      </c>
      <c r="JQ46" s="129">
        <v>0</v>
      </c>
      <c r="JR46" s="129">
        <v>0</v>
      </c>
      <c r="JS46" s="129">
        <v>0</v>
      </c>
      <c r="JT46" s="129">
        <v>0</v>
      </c>
      <c r="JU46" s="129">
        <v>0</v>
      </c>
      <c r="JV46" s="129">
        <v>0</v>
      </c>
      <c r="JW46" s="129">
        <v>0</v>
      </c>
      <c r="JX46" s="129">
        <v>0</v>
      </c>
      <c r="JY46" s="129">
        <v>0</v>
      </c>
      <c r="JZ46" s="129">
        <v>0</v>
      </c>
      <c r="KA46" s="129">
        <v>0</v>
      </c>
      <c r="KB46" s="129">
        <v>0</v>
      </c>
      <c r="KC46" s="129">
        <v>0</v>
      </c>
      <c r="KD46" s="129">
        <v>0</v>
      </c>
      <c r="KE46" s="129">
        <v>0</v>
      </c>
      <c r="KF46" s="129">
        <v>0</v>
      </c>
      <c r="KG46" s="129">
        <v>0</v>
      </c>
      <c r="KH46" s="129">
        <v>0</v>
      </c>
      <c r="KI46" s="129">
        <v>0</v>
      </c>
      <c r="KJ46" s="129">
        <v>0</v>
      </c>
      <c r="KK46" s="129">
        <v>0</v>
      </c>
      <c r="KL46" s="129">
        <v>0</v>
      </c>
      <c r="KM46" s="129">
        <v>0</v>
      </c>
      <c r="KN46" s="129">
        <v>0</v>
      </c>
      <c r="KO46" s="129">
        <v>0</v>
      </c>
      <c r="KP46" s="129">
        <v>0</v>
      </c>
      <c r="KQ46" s="129">
        <v>0</v>
      </c>
      <c r="KR46" s="129">
        <v>0</v>
      </c>
      <c r="KS46" s="129">
        <v>0</v>
      </c>
      <c r="KT46" s="129">
        <v>0</v>
      </c>
      <c r="KU46" s="129">
        <v>0</v>
      </c>
      <c r="KV46" s="129">
        <v>0</v>
      </c>
      <c r="KW46" s="129">
        <v>0</v>
      </c>
      <c r="KX46" s="129">
        <v>0</v>
      </c>
      <c r="KY46" s="129">
        <v>0</v>
      </c>
      <c r="KZ46" s="129">
        <v>0</v>
      </c>
      <c r="LA46" s="129">
        <v>0</v>
      </c>
      <c r="LB46" s="129">
        <v>0</v>
      </c>
      <c r="LC46" s="129">
        <v>0</v>
      </c>
      <c r="LD46" s="129">
        <v>0</v>
      </c>
      <c r="LE46" s="129">
        <v>0</v>
      </c>
      <c r="LF46" s="129">
        <v>0</v>
      </c>
      <c r="LG46" s="129">
        <v>0</v>
      </c>
      <c r="LH46" s="129">
        <v>0</v>
      </c>
      <c r="LI46" s="129">
        <v>0</v>
      </c>
      <c r="LJ46" s="129">
        <v>0</v>
      </c>
      <c r="LK46" s="129">
        <v>0</v>
      </c>
      <c r="LL46" s="129">
        <v>0</v>
      </c>
      <c r="LM46" s="129">
        <v>0</v>
      </c>
      <c r="LN46" s="129">
        <v>0</v>
      </c>
      <c r="LO46" s="129">
        <v>0</v>
      </c>
      <c r="LP46" s="129">
        <v>0</v>
      </c>
      <c r="LQ46" s="129">
        <v>0</v>
      </c>
      <c r="LR46" s="129">
        <v>0</v>
      </c>
      <c r="LS46" s="129">
        <v>0</v>
      </c>
      <c r="LT46" s="129">
        <v>0</v>
      </c>
      <c r="LU46" s="129">
        <v>0</v>
      </c>
      <c r="LV46" s="129">
        <v>0</v>
      </c>
      <c r="LW46" s="129">
        <v>0</v>
      </c>
      <c r="LX46" s="129">
        <v>0</v>
      </c>
      <c r="LY46" s="129">
        <v>0</v>
      </c>
      <c r="LZ46" s="129">
        <v>0</v>
      </c>
      <c r="MA46" s="129">
        <v>0</v>
      </c>
      <c r="MB46" s="129">
        <v>0</v>
      </c>
      <c r="MC46" s="129">
        <v>0</v>
      </c>
      <c r="MD46" s="129">
        <v>0</v>
      </c>
      <c r="ME46" s="129">
        <v>0</v>
      </c>
      <c r="MF46" s="129">
        <v>0</v>
      </c>
      <c r="MG46" s="129">
        <v>0</v>
      </c>
      <c r="MH46" s="129">
        <v>0</v>
      </c>
      <c r="MI46" s="129">
        <v>0</v>
      </c>
      <c r="MJ46" s="129">
        <v>0</v>
      </c>
      <c r="MK46" s="129">
        <v>0</v>
      </c>
      <c r="ML46" s="129">
        <v>0</v>
      </c>
      <c r="MM46" s="129">
        <v>0</v>
      </c>
      <c r="MN46" s="129">
        <v>0</v>
      </c>
      <c r="MO46" s="129">
        <v>0</v>
      </c>
      <c r="MP46" s="129">
        <v>0</v>
      </c>
      <c r="MQ46" s="129">
        <v>0</v>
      </c>
      <c r="MR46" s="129">
        <v>0</v>
      </c>
      <c r="MS46" s="129">
        <v>0</v>
      </c>
      <c r="MT46" s="129">
        <v>0</v>
      </c>
      <c r="MU46" s="129">
        <v>0</v>
      </c>
      <c r="MV46" s="129">
        <v>0</v>
      </c>
      <c r="MW46" s="129">
        <v>0</v>
      </c>
      <c r="MX46" s="129">
        <v>0</v>
      </c>
      <c r="MY46" s="129">
        <v>0</v>
      </c>
      <c r="MZ46" s="129">
        <v>0</v>
      </c>
      <c r="NA46" s="129">
        <v>0</v>
      </c>
      <c r="NB46" s="129">
        <v>0</v>
      </c>
      <c r="NC46" s="129">
        <v>0</v>
      </c>
      <c r="ND46" s="129">
        <v>0</v>
      </c>
      <c r="NE46" s="129">
        <v>0</v>
      </c>
      <c r="NF46" s="129">
        <v>0</v>
      </c>
      <c r="NG46" s="129">
        <v>0</v>
      </c>
      <c r="NH46" s="129">
        <v>0</v>
      </c>
      <c r="NI46" s="129">
        <v>0</v>
      </c>
      <c r="NJ46" s="129">
        <v>0</v>
      </c>
      <c r="NK46" s="129">
        <v>0</v>
      </c>
      <c r="NL46" s="129">
        <v>0</v>
      </c>
      <c r="NM46" s="129">
        <v>0</v>
      </c>
      <c r="NN46" s="129">
        <v>0</v>
      </c>
      <c r="NO46" s="129">
        <v>0</v>
      </c>
      <c r="NP46" s="129">
        <v>0</v>
      </c>
      <c r="NQ46" s="129">
        <v>0</v>
      </c>
      <c r="NR46" s="129">
        <v>0</v>
      </c>
      <c r="NS46" s="129">
        <v>0</v>
      </c>
      <c r="NT46" s="129">
        <v>0</v>
      </c>
      <c r="NU46" s="129">
        <v>0</v>
      </c>
      <c r="NV46" s="129">
        <v>0</v>
      </c>
      <c r="NW46" s="129">
        <v>0</v>
      </c>
      <c r="NX46" s="129">
        <v>0</v>
      </c>
      <c r="NY46" s="129">
        <v>0</v>
      </c>
      <c r="NZ46" s="129">
        <v>0</v>
      </c>
      <c r="OA46" s="129">
        <v>0</v>
      </c>
      <c r="OB46" s="129">
        <v>0</v>
      </c>
      <c r="OC46" s="129">
        <v>0</v>
      </c>
      <c r="OD46" s="129">
        <v>0</v>
      </c>
      <c r="OE46" s="129">
        <v>0</v>
      </c>
      <c r="OF46" s="129">
        <v>0</v>
      </c>
      <c r="OG46" s="129">
        <v>0</v>
      </c>
      <c r="OH46" s="133">
        <v>0</v>
      </c>
    </row>
    <row r="47" spans="1:398" ht="15" thickBot="1" x14ac:dyDescent="0.4">
      <c r="A47" s="102"/>
      <c r="B47" s="168">
        <f t="shared" si="8"/>
        <v>19</v>
      </c>
      <c r="C47" s="171" t="s">
        <v>903</v>
      </c>
      <c r="D47" s="124" t="s">
        <v>904</v>
      </c>
      <c r="E47" s="124" t="s">
        <v>913</v>
      </c>
      <c r="F47" s="125" t="s">
        <v>738</v>
      </c>
      <c r="G47" s="125" t="s">
        <v>738</v>
      </c>
      <c r="H47" s="125" t="s">
        <v>738</v>
      </c>
      <c r="I47" s="134">
        <f>SUM(I43:I46)</f>
        <v>0</v>
      </c>
      <c r="J47" s="134">
        <f>SUM(J43:J46)</f>
        <v>0</v>
      </c>
      <c r="K47" s="134">
        <f t="shared" ref="K47:Q47" si="14">SUM(K43:K46)</f>
        <v>0</v>
      </c>
      <c r="L47" s="134">
        <f t="shared" si="14"/>
        <v>0</v>
      </c>
      <c r="M47" s="134">
        <f t="shared" si="14"/>
        <v>0</v>
      </c>
      <c r="N47" s="134">
        <f t="shared" si="14"/>
        <v>0</v>
      </c>
      <c r="O47" s="134">
        <f t="shared" si="14"/>
        <v>0</v>
      </c>
      <c r="P47" s="134">
        <f t="shared" si="14"/>
        <v>0</v>
      </c>
      <c r="Q47" s="134">
        <f t="shared" si="14"/>
        <v>0</v>
      </c>
      <c r="R47" s="134">
        <f>R45</f>
        <v>0</v>
      </c>
      <c r="S47" s="134">
        <f>S45</f>
        <v>0</v>
      </c>
      <c r="T47" s="134">
        <f t="shared" ref="T47:CB47" si="15">SUM(T43:T46)</f>
        <v>0</v>
      </c>
      <c r="U47" s="134">
        <f t="shared" si="15"/>
        <v>0</v>
      </c>
      <c r="V47" s="134">
        <f t="shared" si="15"/>
        <v>0</v>
      </c>
      <c r="W47" s="134">
        <f t="shared" si="15"/>
        <v>0</v>
      </c>
      <c r="X47" s="134">
        <f t="shared" si="15"/>
        <v>0</v>
      </c>
      <c r="Y47" s="134">
        <f t="shared" si="15"/>
        <v>0</v>
      </c>
      <c r="Z47" s="134">
        <f t="shared" si="15"/>
        <v>0</v>
      </c>
      <c r="AA47" s="134">
        <f t="shared" si="15"/>
        <v>0</v>
      </c>
      <c r="AB47" s="134">
        <f t="shared" si="15"/>
        <v>0</v>
      </c>
      <c r="AC47" s="134">
        <f t="shared" si="15"/>
        <v>0</v>
      </c>
      <c r="AD47" s="134">
        <f t="shared" si="15"/>
        <v>0</v>
      </c>
      <c r="AE47" s="134">
        <f t="shared" si="15"/>
        <v>0</v>
      </c>
      <c r="AF47" s="134">
        <f t="shared" si="15"/>
        <v>0</v>
      </c>
      <c r="AG47" s="134">
        <f t="shared" si="15"/>
        <v>0</v>
      </c>
      <c r="AH47" s="134">
        <f t="shared" si="15"/>
        <v>0</v>
      </c>
      <c r="AI47" s="134">
        <f t="shared" si="15"/>
        <v>0</v>
      </c>
      <c r="AJ47" s="134">
        <f t="shared" si="15"/>
        <v>0</v>
      </c>
      <c r="AK47" s="134">
        <f t="shared" si="15"/>
        <v>0</v>
      </c>
      <c r="AL47" s="134">
        <f t="shared" si="15"/>
        <v>0</v>
      </c>
      <c r="AM47" s="134">
        <f t="shared" si="15"/>
        <v>0</v>
      </c>
      <c r="AN47" s="134">
        <f t="shared" si="15"/>
        <v>0</v>
      </c>
      <c r="AO47" s="134">
        <f t="shared" si="15"/>
        <v>0</v>
      </c>
      <c r="AP47" s="134">
        <f t="shared" si="15"/>
        <v>0</v>
      </c>
      <c r="AQ47" s="134">
        <f t="shared" si="15"/>
        <v>0</v>
      </c>
      <c r="AR47" s="134">
        <f t="shared" si="15"/>
        <v>0</v>
      </c>
      <c r="AS47" s="134">
        <f t="shared" si="15"/>
        <v>0</v>
      </c>
      <c r="AT47" s="134">
        <f t="shared" si="15"/>
        <v>0</v>
      </c>
      <c r="AU47" s="134">
        <f t="shared" si="15"/>
        <v>0</v>
      </c>
      <c r="AV47" s="134">
        <f t="shared" si="15"/>
        <v>0</v>
      </c>
      <c r="AW47" s="134">
        <f t="shared" si="15"/>
        <v>0</v>
      </c>
      <c r="AX47" s="134">
        <f t="shared" si="15"/>
        <v>0</v>
      </c>
      <c r="AY47" s="134">
        <f t="shared" si="15"/>
        <v>0</v>
      </c>
      <c r="AZ47" s="134">
        <f t="shared" si="15"/>
        <v>0</v>
      </c>
      <c r="BA47" s="134">
        <f t="shared" si="15"/>
        <v>0</v>
      </c>
      <c r="BB47" s="134">
        <f t="shared" si="15"/>
        <v>0</v>
      </c>
      <c r="BC47" s="134">
        <f t="shared" si="15"/>
        <v>0</v>
      </c>
      <c r="BD47" s="134">
        <f t="shared" si="15"/>
        <v>0</v>
      </c>
      <c r="BE47" s="134">
        <f t="shared" si="15"/>
        <v>0</v>
      </c>
      <c r="BF47" s="134">
        <f t="shared" si="15"/>
        <v>0</v>
      </c>
      <c r="BG47" s="134">
        <f t="shared" si="15"/>
        <v>0</v>
      </c>
      <c r="BH47" s="134">
        <f t="shared" si="15"/>
        <v>0</v>
      </c>
      <c r="BI47" s="134">
        <f t="shared" si="15"/>
        <v>0</v>
      </c>
      <c r="BJ47" s="134">
        <f t="shared" si="15"/>
        <v>0</v>
      </c>
      <c r="BK47" s="134">
        <f t="shared" si="15"/>
        <v>0</v>
      </c>
      <c r="BL47" s="134">
        <f t="shared" si="15"/>
        <v>0</v>
      </c>
      <c r="BM47" s="134">
        <f t="shared" si="15"/>
        <v>0</v>
      </c>
      <c r="BN47" s="134">
        <f t="shared" si="15"/>
        <v>0</v>
      </c>
      <c r="BO47" s="134">
        <f t="shared" si="15"/>
        <v>0</v>
      </c>
      <c r="BP47" s="134">
        <f t="shared" si="15"/>
        <v>0</v>
      </c>
      <c r="BQ47" s="134">
        <f t="shared" si="15"/>
        <v>0</v>
      </c>
      <c r="BR47" s="134">
        <f t="shared" si="15"/>
        <v>0</v>
      </c>
      <c r="BS47" s="134">
        <f t="shared" si="15"/>
        <v>0</v>
      </c>
      <c r="BT47" s="134">
        <f t="shared" si="15"/>
        <v>0</v>
      </c>
      <c r="BU47" s="134">
        <f t="shared" si="15"/>
        <v>0</v>
      </c>
      <c r="BV47" s="134">
        <f t="shared" si="15"/>
        <v>0</v>
      </c>
      <c r="BW47" s="134">
        <f t="shared" si="15"/>
        <v>0</v>
      </c>
      <c r="BX47" s="134">
        <f t="shared" si="15"/>
        <v>0</v>
      </c>
      <c r="BY47" s="134">
        <f t="shared" si="15"/>
        <v>0</v>
      </c>
      <c r="BZ47" s="134">
        <f t="shared" si="15"/>
        <v>0</v>
      </c>
      <c r="CA47" s="134">
        <f t="shared" si="15"/>
        <v>0</v>
      </c>
      <c r="CB47" s="134">
        <f t="shared" si="15"/>
        <v>0</v>
      </c>
      <c r="CC47" s="134">
        <f t="shared" ref="CC47:EN47" si="16">SUM(CC43:CC46)</f>
        <v>0</v>
      </c>
      <c r="CD47" s="134">
        <f t="shared" si="16"/>
        <v>0</v>
      </c>
      <c r="CE47" s="134">
        <f t="shared" si="16"/>
        <v>0</v>
      </c>
      <c r="CF47" s="134">
        <f t="shared" si="16"/>
        <v>0</v>
      </c>
      <c r="CG47" s="134">
        <f t="shared" si="16"/>
        <v>0</v>
      </c>
      <c r="CH47" s="134">
        <f t="shared" si="16"/>
        <v>0</v>
      </c>
      <c r="CI47" s="134">
        <f t="shared" si="16"/>
        <v>0</v>
      </c>
      <c r="CJ47" s="134">
        <f t="shared" si="16"/>
        <v>0</v>
      </c>
      <c r="CK47" s="134">
        <f t="shared" si="16"/>
        <v>0</v>
      </c>
      <c r="CL47" s="134">
        <f t="shared" si="16"/>
        <v>0</v>
      </c>
      <c r="CM47" s="134">
        <f t="shared" si="16"/>
        <v>0</v>
      </c>
      <c r="CN47" s="134">
        <f t="shared" si="16"/>
        <v>0</v>
      </c>
      <c r="CO47" s="134">
        <f t="shared" si="16"/>
        <v>0</v>
      </c>
      <c r="CP47" s="134">
        <f t="shared" si="16"/>
        <v>0</v>
      </c>
      <c r="CQ47" s="134">
        <f t="shared" si="16"/>
        <v>0</v>
      </c>
      <c r="CR47" s="134">
        <f t="shared" si="16"/>
        <v>0</v>
      </c>
      <c r="CS47" s="134">
        <f t="shared" si="16"/>
        <v>0</v>
      </c>
      <c r="CT47" s="134">
        <f t="shared" si="16"/>
        <v>0</v>
      </c>
      <c r="CU47" s="134">
        <f t="shared" si="16"/>
        <v>0</v>
      </c>
      <c r="CV47" s="134">
        <f t="shared" si="16"/>
        <v>0</v>
      </c>
      <c r="CW47" s="134">
        <f t="shared" si="16"/>
        <v>0</v>
      </c>
      <c r="CX47" s="134">
        <f t="shared" si="16"/>
        <v>0</v>
      </c>
      <c r="CY47" s="134">
        <f t="shared" si="16"/>
        <v>0</v>
      </c>
      <c r="CZ47" s="134">
        <f t="shared" si="16"/>
        <v>0</v>
      </c>
      <c r="DA47" s="134">
        <f t="shared" si="16"/>
        <v>0</v>
      </c>
      <c r="DB47" s="134">
        <f t="shared" si="16"/>
        <v>0</v>
      </c>
      <c r="DC47" s="134">
        <f t="shared" si="16"/>
        <v>0</v>
      </c>
      <c r="DD47" s="134">
        <f t="shared" si="16"/>
        <v>0</v>
      </c>
      <c r="DE47" s="134">
        <f t="shared" si="16"/>
        <v>0</v>
      </c>
      <c r="DF47" s="134">
        <f t="shared" si="16"/>
        <v>0</v>
      </c>
      <c r="DG47" s="134">
        <f t="shared" si="16"/>
        <v>0</v>
      </c>
      <c r="DH47" s="134">
        <f t="shared" si="16"/>
        <v>0</v>
      </c>
      <c r="DI47" s="134">
        <f t="shared" si="16"/>
        <v>0</v>
      </c>
      <c r="DJ47" s="134">
        <f t="shared" si="16"/>
        <v>0</v>
      </c>
      <c r="DK47" s="134">
        <f t="shared" si="16"/>
        <v>0</v>
      </c>
      <c r="DL47" s="134">
        <f t="shared" si="16"/>
        <v>0</v>
      </c>
      <c r="DM47" s="134">
        <f t="shared" si="16"/>
        <v>0</v>
      </c>
      <c r="DN47" s="134">
        <f t="shared" si="16"/>
        <v>0</v>
      </c>
      <c r="DO47" s="134">
        <f t="shared" si="16"/>
        <v>0</v>
      </c>
      <c r="DP47" s="134">
        <f t="shared" si="16"/>
        <v>0</v>
      </c>
      <c r="DQ47" s="134">
        <f t="shared" si="16"/>
        <v>0</v>
      </c>
      <c r="DR47" s="134">
        <f t="shared" si="16"/>
        <v>0</v>
      </c>
      <c r="DS47" s="134">
        <f t="shared" si="16"/>
        <v>0</v>
      </c>
      <c r="DT47" s="134">
        <f t="shared" si="16"/>
        <v>0</v>
      </c>
      <c r="DU47" s="134">
        <f t="shared" si="16"/>
        <v>0</v>
      </c>
      <c r="DV47" s="134">
        <f t="shared" si="16"/>
        <v>0</v>
      </c>
      <c r="DW47" s="134">
        <f t="shared" si="16"/>
        <v>0</v>
      </c>
      <c r="DX47" s="134">
        <f t="shared" si="16"/>
        <v>0</v>
      </c>
      <c r="DY47" s="134">
        <f t="shared" si="16"/>
        <v>0</v>
      </c>
      <c r="DZ47" s="134">
        <f t="shared" si="16"/>
        <v>0</v>
      </c>
      <c r="EA47" s="134">
        <f t="shared" si="16"/>
        <v>0</v>
      </c>
      <c r="EB47" s="134">
        <f t="shared" si="16"/>
        <v>0</v>
      </c>
      <c r="EC47" s="134">
        <f t="shared" si="16"/>
        <v>0</v>
      </c>
      <c r="ED47" s="134">
        <f t="shared" si="16"/>
        <v>0</v>
      </c>
      <c r="EE47" s="134">
        <f t="shared" si="16"/>
        <v>0</v>
      </c>
      <c r="EF47" s="134">
        <f t="shared" si="16"/>
        <v>0</v>
      </c>
      <c r="EG47" s="134">
        <f t="shared" si="16"/>
        <v>0</v>
      </c>
      <c r="EH47" s="134">
        <f t="shared" si="16"/>
        <v>0</v>
      </c>
      <c r="EI47" s="134">
        <f t="shared" si="16"/>
        <v>0</v>
      </c>
      <c r="EJ47" s="134">
        <f t="shared" si="16"/>
        <v>0</v>
      </c>
      <c r="EK47" s="134">
        <f t="shared" si="16"/>
        <v>0</v>
      </c>
      <c r="EL47" s="134">
        <f t="shared" ref="EL47" si="17">SUM(EL43:EL46)</f>
        <v>0</v>
      </c>
      <c r="EM47" s="134">
        <f t="shared" si="16"/>
        <v>0</v>
      </c>
      <c r="EN47" s="134">
        <f t="shared" si="16"/>
        <v>0</v>
      </c>
      <c r="EO47" s="134">
        <f t="shared" ref="EO47:GZ47" si="18">SUM(EO43:EO46)</f>
        <v>0</v>
      </c>
      <c r="EP47" s="134">
        <f t="shared" si="18"/>
        <v>0</v>
      </c>
      <c r="EQ47" s="134">
        <f t="shared" si="18"/>
        <v>0</v>
      </c>
      <c r="ER47" s="134">
        <f t="shared" si="18"/>
        <v>0</v>
      </c>
      <c r="ES47" s="134">
        <f t="shared" si="18"/>
        <v>0</v>
      </c>
      <c r="ET47" s="134">
        <f t="shared" si="18"/>
        <v>0</v>
      </c>
      <c r="EU47" s="134">
        <f t="shared" si="18"/>
        <v>0</v>
      </c>
      <c r="EV47" s="134">
        <f t="shared" si="18"/>
        <v>0</v>
      </c>
      <c r="EW47" s="134">
        <f t="shared" si="18"/>
        <v>0</v>
      </c>
      <c r="EX47" s="134">
        <f t="shared" si="18"/>
        <v>0</v>
      </c>
      <c r="EY47" s="134">
        <f t="shared" si="18"/>
        <v>0</v>
      </c>
      <c r="EZ47" s="134">
        <f t="shared" si="18"/>
        <v>0</v>
      </c>
      <c r="FA47" s="134">
        <f t="shared" si="18"/>
        <v>0</v>
      </c>
      <c r="FB47" s="134">
        <f t="shared" si="18"/>
        <v>0</v>
      </c>
      <c r="FC47" s="134">
        <f t="shared" si="18"/>
        <v>0</v>
      </c>
      <c r="FD47" s="134">
        <f t="shared" si="18"/>
        <v>0</v>
      </c>
      <c r="FE47" s="134">
        <f t="shared" si="18"/>
        <v>0</v>
      </c>
      <c r="FF47" s="134">
        <f t="shared" si="18"/>
        <v>0</v>
      </c>
      <c r="FG47" s="134">
        <f t="shared" si="18"/>
        <v>0</v>
      </c>
      <c r="FH47" s="134">
        <f t="shared" si="18"/>
        <v>0</v>
      </c>
      <c r="FI47" s="134">
        <f t="shared" si="18"/>
        <v>0</v>
      </c>
      <c r="FJ47" s="134">
        <f t="shared" si="18"/>
        <v>0</v>
      </c>
      <c r="FK47" s="134">
        <f t="shared" si="18"/>
        <v>0</v>
      </c>
      <c r="FL47" s="134">
        <f t="shared" si="18"/>
        <v>0</v>
      </c>
      <c r="FM47" s="134">
        <f t="shared" si="18"/>
        <v>0</v>
      </c>
      <c r="FN47" s="134">
        <f t="shared" si="18"/>
        <v>0</v>
      </c>
      <c r="FO47" s="134">
        <f t="shared" si="18"/>
        <v>0</v>
      </c>
      <c r="FP47" s="134">
        <f t="shared" si="18"/>
        <v>0</v>
      </c>
      <c r="FQ47" s="134">
        <f t="shared" si="18"/>
        <v>0</v>
      </c>
      <c r="FR47" s="134">
        <f t="shared" si="18"/>
        <v>0</v>
      </c>
      <c r="FS47" s="134">
        <f t="shared" si="18"/>
        <v>0</v>
      </c>
      <c r="FT47" s="134">
        <f t="shared" si="18"/>
        <v>0</v>
      </c>
      <c r="FU47" s="134">
        <f t="shared" si="18"/>
        <v>0</v>
      </c>
      <c r="FV47" s="134">
        <f t="shared" si="18"/>
        <v>0</v>
      </c>
      <c r="FW47" s="134">
        <f t="shared" si="18"/>
        <v>0</v>
      </c>
      <c r="FX47" s="134">
        <f t="shared" si="18"/>
        <v>0</v>
      </c>
      <c r="FY47" s="134">
        <f t="shared" si="18"/>
        <v>0</v>
      </c>
      <c r="FZ47" s="134">
        <f t="shared" si="18"/>
        <v>0</v>
      </c>
      <c r="GA47" s="134">
        <f t="shared" si="18"/>
        <v>0</v>
      </c>
      <c r="GB47" s="134">
        <f t="shared" si="18"/>
        <v>0</v>
      </c>
      <c r="GC47" s="134">
        <f t="shared" si="18"/>
        <v>0</v>
      </c>
      <c r="GD47" s="134">
        <f t="shared" si="18"/>
        <v>0</v>
      </c>
      <c r="GE47" s="134">
        <f t="shared" si="18"/>
        <v>0</v>
      </c>
      <c r="GF47" s="134">
        <f t="shared" si="18"/>
        <v>0</v>
      </c>
      <c r="GG47" s="134">
        <f t="shared" si="18"/>
        <v>0</v>
      </c>
      <c r="GH47" s="134">
        <f t="shared" si="18"/>
        <v>0</v>
      </c>
      <c r="GI47" s="134">
        <f t="shared" si="18"/>
        <v>0</v>
      </c>
      <c r="GJ47" s="134">
        <f t="shared" si="18"/>
        <v>0</v>
      </c>
      <c r="GK47" s="134">
        <f t="shared" si="18"/>
        <v>0</v>
      </c>
      <c r="GL47" s="134">
        <f t="shared" si="18"/>
        <v>0</v>
      </c>
      <c r="GM47" s="134">
        <f t="shared" si="18"/>
        <v>0</v>
      </c>
      <c r="GN47" s="134">
        <f t="shared" si="18"/>
        <v>0</v>
      </c>
      <c r="GO47" s="134">
        <f t="shared" si="18"/>
        <v>0</v>
      </c>
      <c r="GP47" s="134">
        <f t="shared" si="18"/>
        <v>0</v>
      </c>
      <c r="GQ47" s="134">
        <f t="shared" si="18"/>
        <v>0</v>
      </c>
      <c r="GR47" s="134">
        <f t="shared" si="18"/>
        <v>0</v>
      </c>
      <c r="GS47" s="134">
        <f t="shared" si="18"/>
        <v>0</v>
      </c>
      <c r="GT47" s="134">
        <f t="shared" si="18"/>
        <v>0</v>
      </c>
      <c r="GU47" s="134">
        <f t="shared" si="18"/>
        <v>0</v>
      </c>
      <c r="GV47" s="134">
        <f t="shared" si="18"/>
        <v>0</v>
      </c>
      <c r="GW47" s="134">
        <f t="shared" si="18"/>
        <v>0</v>
      </c>
      <c r="GX47" s="134">
        <f t="shared" si="18"/>
        <v>0</v>
      </c>
      <c r="GY47" s="134">
        <f t="shared" si="18"/>
        <v>0</v>
      </c>
      <c r="GZ47" s="134">
        <f t="shared" si="18"/>
        <v>0</v>
      </c>
      <c r="HA47" s="134">
        <f t="shared" ref="HA47:JL47" si="19">SUM(HA43:HA46)</f>
        <v>0</v>
      </c>
      <c r="HB47" s="134">
        <f t="shared" si="19"/>
        <v>0</v>
      </c>
      <c r="HC47" s="134">
        <f t="shared" si="19"/>
        <v>0</v>
      </c>
      <c r="HD47" s="134">
        <f t="shared" si="19"/>
        <v>0</v>
      </c>
      <c r="HE47" s="134">
        <f t="shared" si="19"/>
        <v>0</v>
      </c>
      <c r="HF47" s="134">
        <f t="shared" si="19"/>
        <v>0</v>
      </c>
      <c r="HG47" s="134">
        <f t="shared" si="19"/>
        <v>0</v>
      </c>
      <c r="HH47" s="134">
        <f t="shared" si="19"/>
        <v>0</v>
      </c>
      <c r="HI47" s="134">
        <f t="shared" si="19"/>
        <v>0</v>
      </c>
      <c r="HJ47" s="134">
        <f t="shared" si="19"/>
        <v>0</v>
      </c>
      <c r="HK47" s="134">
        <f t="shared" si="19"/>
        <v>0</v>
      </c>
      <c r="HL47" s="134">
        <f t="shared" si="19"/>
        <v>0</v>
      </c>
      <c r="HM47" s="134">
        <f t="shared" si="19"/>
        <v>0</v>
      </c>
      <c r="HN47" s="134">
        <f t="shared" si="19"/>
        <v>0</v>
      </c>
      <c r="HO47" s="134">
        <f t="shared" si="19"/>
        <v>0</v>
      </c>
      <c r="HP47" s="134">
        <f t="shared" si="19"/>
        <v>0</v>
      </c>
      <c r="HQ47" s="134">
        <f t="shared" si="19"/>
        <v>0</v>
      </c>
      <c r="HR47" s="134">
        <f t="shared" si="19"/>
        <v>0</v>
      </c>
      <c r="HS47" s="134">
        <f t="shared" si="19"/>
        <v>0</v>
      </c>
      <c r="HT47" s="134">
        <f t="shared" si="19"/>
        <v>0</v>
      </c>
      <c r="HU47" s="134">
        <f t="shared" si="19"/>
        <v>0</v>
      </c>
      <c r="HV47" s="134">
        <f t="shared" si="19"/>
        <v>0</v>
      </c>
      <c r="HW47" s="134">
        <f t="shared" si="19"/>
        <v>0</v>
      </c>
      <c r="HX47" s="134">
        <f t="shared" si="19"/>
        <v>0</v>
      </c>
      <c r="HY47" s="134">
        <f t="shared" si="19"/>
        <v>0</v>
      </c>
      <c r="HZ47" s="134">
        <f t="shared" si="19"/>
        <v>0</v>
      </c>
      <c r="IA47" s="134">
        <f t="shared" si="19"/>
        <v>0</v>
      </c>
      <c r="IB47" s="134">
        <f t="shared" si="19"/>
        <v>0</v>
      </c>
      <c r="IC47" s="134">
        <f t="shared" si="19"/>
        <v>0</v>
      </c>
      <c r="ID47" s="134">
        <f t="shared" si="19"/>
        <v>0</v>
      </c>
      <c r="IE47" s="134">
        <f t="shared" si="19"/>
        <v>0</v>
      </c>
      <c r="IF47" s="134">
        <f t="shared" si="19"/>
        <v>0</v>
      </c>
      <c r="IG47" s="134">
        <f t="shared" si="19"/>
        <v>0</v>
      </c>
      <c r="IH47" s="134">
        <f t="shared" si="19"/>
        <v>0</v>
      </c>
      <c r="II47" s="134">
        <f t="shared" si="19"/>
        <v>0</v>
      </c>
      <c r="IJ47" s="134">
        <f t="shared" si="19"/>
        <v>0</v>
      </c>
      <c r="IK47" s="134">
        <f t="shared" si="19"/>
        <v>0</v>
      </c>
      <c r="IL47" s="134">
        <f t="shared" si="19"/>
        <v>0</v>
      </c>
      <c r="IM47" s="134">
        <f t="shared" si="19"/>
        <v>0</v>
      </c>
      <c r="IN47" s="134">
        <f t="shared" si="19"/>
        <v>0</v>
      </c>
      <c r="IO47" s="134">
        <f t="shared" si="19"/>
        <v>0</v>
      </c>
      <c r="IP47" s="134">
        <f t="shared" si="19"/>
        <v>0</v>
      </c>
      <c r="IQ47" s="134">
        <f t="shared" si="19"/>
        <v>0</v>
      </c>
      <c r="IR47" s="134">
        <f t="shared" si="19"/>
        <v>0</v>
      </c>
      <c r="IS47" s="134">
        <f t="shared" si="19"/>
        <v>0</v>
      </c>
      <c r="IT47" s="134">
        <f t="shared" si="19"/>
        <v>0</v>
      </c>
      <c r="IU47" s="134">
        <f t="shared" si="19"/>
        <v>0</v>
      </c>
      <c r="IV47" s="134">
        <f t="shared" si="19"/>
        <v>0</v>
      </c>
      <c r="IW47" s="134">
        <f t="shared" si="19"/>
        <v>0</v>
      </c>
      <c r="IX47" s="134">
        <f t="shared" si="19"/>
        <v>0</v>
      </c>
      <c r="IY47" s="134">
        <f t="shared" si="19"/>
        <v>0</v>
      </c>
      <c r="IZ47" s="134">
        <f t="shared" si="19"/>
        <v>0</v>
      </c>
      <c r="JA47" s="134">
        <f t="shared" si="19"/>
        <v>0</v>
      </c>
      <c r="JB47" s="134">
        <f t="shared" si="19"/>
        <v>0</v>
      </c>
      <c r="JC47" s="134">
        <f t="shared" si="19"/>
        <v>0</v>
      </c>
      <c r="JD47" s="134">
        <f t="shared" si="19"/>
        <v>0</v>
      </c>
      <c r="JE47" s="134">
        <f t="shared" si="19"/>
        <v>0</v>
      </c>
      <c r="JF47" s="134">
        <f t="shared" si="19"/>
        <v>0</v>
      </c>
      <c r="JG47" s="134">
        <f t="shared" si="19"/>
        <v>0</v>
      </c>
      <c r="JH47" s="134">
        <f t="shared" si="19"/>
        <v>0</v>
      </c>
      <c r="JI47" s="134">
        <f t="shared" si="19"/>
        <v>0</v>
      </c>
      <c r="JJ47" s="134">
        <f t="shared" si="19"/>
        <v>0</v>
      </c>
      <c r="JK47" s="134">
        <f t="shared" si="19"/>
        <v>0</v>
      </c>
      <c r="JL47" s="134">
        <f t="shared" si="19"/>
        <v>0</v>
      </c>
      <c r="JM47" s="134">
        <f t="shared" ref="JM47:LX47" si="20">SUM(JM43:JM46)</f>
        <v>0</v>
      </c>
      <c r="JN47" s="134">
        <f t="shared" si="20"/>
        <v>0</v>
      </c>
      <c r="JO47" s="134">
        <f t="shared" si="20"/>
        <v>0</v>
      </c>
      <c r="JP47" s="134">
        <f t="shared" si="20"/>
        <v>0</v>
      </c>
      <c r="JQ47" s="134">
        <f t="shared" si="20"/>
        <v>0</v>
      </c>
      <c r="JR47" s="134">
        <f t="shared" si="20"/>
        <v>0</v>
      </c>
      <c r="JS47" s="134">
        <f t="shared" si="20"/>
        <v>0</v>
      </c>
      <c r="JT47" s="134">
        <f t="shared" si="20"/>
        <v>0</v>
      </c>
      <c r="JU47" s="134">
        <f t="shared" si="20"/>
        <v>0</v>
      </c>
      <c r="JV47" s="134">
        <f t="shared" si="20"/>
        <v>0</v>
      </c>
      <c r="JW47" s="134">
        <f t="shared" si="20"/>
        <v>0</v>
      </c>
      <c r="JX47" s="134">
        <f t="shared" si="20"/>
        <v>0</v>
      </c>
      <c r="JY47" s="134">
        <f t="shared" si="20"/>
        <v>0</v>
      </c>
      <c r="JZ47" s="134">
        <f t="shared" si="20"/>
        <v>0</v>
      </c>
      <c r="KA47" s="134">
        <f t="shared" si="20"/>
        <v>0</v>
      </c>
      <c r="KB47" s="134">
        <f t="shared" si="20"/>
        <v>0</v>
      </c>
      <c r="KC47" s="134">
        <f t="shared" si="20"/>
        <v>0</v>
      </c>
      <c r="KD47" s="134">
        <f t="shared" si="20"/>
        <v>0</v>
      </c>
      <c r="KE47" s="134">
        <f t="shared" si="20"/>
        <v>0</v>
      </c>
      <c r="KF47" s="134">
        <f t="shared" si="20"/>
        <v>0</v>
      </c>
      <c r="KG47" s="134">
        <f t="shared" si="20"/>
        <v>0</v>
      </c>
      <c r="KH47" s="134">
        <f t="shared" si="20"/>
        <v>0</v>
      </c>
      <c r="KI47" s="134">
        <f t="shared" si="20"/>
        <v>0</v>
      </c>
      <c r="KJ47" s="134">
        <f t="shared" si="20"/>
        <v>0</v>
      </c>
      <c r="KK47" s="134">
        <f t="shared" si="20"/>
        <v>0</v>
      </c>
      <c r="KL47" s="134">
        <f t="shared" si="20"/>
        <v>0</v>
      </c>
      <c r="KM47" s="134">
        <f t="shared" si="20"/>
        <v>0</v>
      </c>
      <c r="KN47" s="134">
        <f t="shared" si="20"/>
        <v>0</v>
      </c>
      <c r="KO47" s="134">
        <f t="shared" si="20"/>
        <v>0</v>
      </c>
      <c r="KP47" s="134">
        <f t="shared" si="20"/>
        <v>0</v>
      </c>
      <c r="KQ47" s="134">
        <f t="shared" si="20"/>
        <v>0</v>
      </c>
      <c r="KR47" s="134">
        <f t="shared" si="20"/>
        <v>0</v>
      </c>
      <c r="KS47" s="134">
        <f t="shared" si="20"/>
        <v>0</v>
      </c>
      <c r="KT47" s="134">
        <f t="shared" si="20"/>
        <v>0</v>
      </c>
      <c r="KU47" s="134">
        <f t="shared" si="20"/>
        <v>0</v>
      </c>
      <c r="KV47" s="134">
        <f t="shared" si="20"/>
        <v>0</v>
      </c>
      <c r="KW47" s="134">
        <f t="shared" si="20"/>
        <v>0</v>
      </c>
      <c r="KX47" s="134">
        <f t="shared" si="20"/>
        <v>0</v>
      </c>
      <c r="KY47" s="134">
        <f t="shared" si="20"/>
        <v>0</v>
      </c>
      <c r="KZ47" s="134">
        <f t="shared" si="20"/>
        <v>0</v>
      </c>
      <c r="LA47" s="134">
        <f t="shared" si="20"/>
        <v>0</v>
      </c>
      <c r="LB47" s="134">
        <f t="shared" si="20"/>
        <v>0</v>
      </c>
      <c r="LC47" s="134">
        <f t="shared" si="20"/>
        <v>0</v>
      </c>
      <c r="LD47" s="134">
        <f t="shared" si="20"/>
        <v>0</v>
      </c>
      <c r="LE47" s="134">
        <f t="shared" si="20"/>
        <v>0</v>
      </c>
      <c r="LF47" s="134">
        <f t="shared" si="20"/>
        <v>0</v>
      </c>
      <c r="LG47" s="134">
        <f t="shared" si="20"/>
        <v>0</v>
      </c>
      <c r="LH47" s="134">
        <f t="shared" si="20"/>
        <v>0</v>
      </c>
      <c r="LI47" s="134">
        <f t="shared" si="20"/>
        <v>0</v>
      </c>
      <c r="LJ47" s="134">
        <f t="shared" si="20"/>
        <v>0</v>
      </c>
      <c r="LK47" s="134">
        <f t="shared" si="20"/>
        <v>0</v>
      </c>
      <c r="LL47" s="134">
        <f t="shared" si="20"/>
        <v>0</v>
      </c>
      <c r="LM47" s="134">
        <f t="shared" si="20"/>
        <v>0</v>
      </c>
      <c r="LN47" s="134">
        <f t="shared" si="20"/>
        <v>0</v>
      </c>
      <c r="LO47" s="134">
        <f t="shared" si="20"/>
        <v>0</v>
      </c>
      <c r="LP47" s="134">
        <f t="shared" si="20"/>
        <v>0</v>
      </c>
      <c r="LQ47" s="134">
        <f t="shared" si="20"/>
        <v>0</v>
      </c>
      <c r="LR47" s="134">
        <f t="shared" si="20"/>
        <v>0</v>
      </c>
      <c r="LS47" s="134">
        <f t="shared" si="20"/>
        <v>0</v>
      </c>
      <c r="LT47" s="134">
        <f t="shared" si="20"/>
        <v>0</v>
      </c>
      <c r="LU47" s="134">
        <f t="shared" si="20"/>
        <v>0</v>
      </c>
      <c r="LV47" s="134">
        <f t="shared" si="20"/>
        <v>0</v>
      </c>
      <c r="LW47" s="134">
        <f t="shared" si="20"/>
        <v>0</v>
      </c>
      <c r="LX47" s="134">
        <f t="shared" si="20"/>
        <v>0</v>
      </c>
      <c r="LY47" s="134">
        <f t="shared" ref="LY47:LZ47" si="21">SUM(LY43:LY46)</f>
        <v>0</v>
      </c>
      <c r="LZ47" s="134">
        <f t="shared" si="21"/>
        <v>0</v>
      </c>
      <c r="MA47" s="134">
        <f t="shared" ref="MA47" si="22">SUM(MA43:MA46)</f>
        <v>0</v>
      </c>
      <c r="MB47" s="134">
        <f t="shared" ref="MB47:OH47" si="23">SUM(MB43:MB46)</f>
        <v>0</v>
      </c>
      <c r="MC47" s="134">
        <f t="shared" si="23"/>
        <v>0</v>
      </c>
      <c r="MD47" s="134">
        <f t="shared" si="23"/>
        <v>0</v>
      </c>
      <c r="ME47" s="134">
        <f t="shared" si="23"/>
        <v>0</v>
      </c>
      <c r="MF47" s="134">
        <f t="shared" si="23"/>
        <v>0</v>
      </c>
      <c r="MG47" s="134">
        <f t="shared" si="23"/>
        <v>0</v>
      </c>
      <c r="MH47" s="134">
        <f t="shared" si="23"/>
        <v>0</v>
      </c>
      <c r="MI47" s="134">
        <f t="shared" si="23"/>
        <v>0</v>
      </c>
      <c r="MJ47" s="134">
        <f t="shared" si="23"/>
        <v>0</v>
      </c>
      <c r="MK47" s="134">
        <f t="shared" si="23"/>
        <v>0</v>
      </c>
      <c r="ML47" s="134">
        <f t="shared" si="23"/>
        <v>0</v>
      </c>
      <c r="MM47" s="134">
        <f t="shared" si="23"/>
        <v>0</v>
      </c>
      <c r="MN47" s="134">
        <f t="shared" si="23"/>
        <v>0</v>
      </c>
      <c r="MO47" s="134">
        <f t="shared" si="23"/>
        <v>0</v>
      </c>
      <c r="MP47" s="134">
        <f t="shared" si="23"/>
        <v>0</v>
      </c>
      <c r="MQ47" s="134">
        <f t="shared" si="23"/>
        <v>0</v>
      </c>
      <c r="MR47" s="134">
        <f t="shared" si="23"/>
        <v>0</v>
      </c>
      <c r="MS47" s="134">
        <f t="shared" si="23"/>
        <v>0</v>
      </c>
      <c r="MT47" s="134">
        <f t="shared" si="23"/>
        <v>0</v>
      </c>
      <c r="MU47" s="134">
        <f t="shared" si="23"/>
        <v>0</v>
      </c>
      <c r="MV47" s="134">
        <f t="shared" si="23"/>
        <v>0</v>
      </c>
      <c r="MW47" s="134">
        <f t="shared" si="23"/>
        <v>0</v>
      </c>
      <c r="MX47" s="134">
        <f t="shared" si="23"/>
        <v>0</v>
      </c>
      <c r="MY47" s="134">
        <f t="shared" si="23"/>
        <v>0</v>
      </c>
      <c r="MZ47" s="134">
        <f t="shared" si="23"/>
        <v>0</v>
      </c>
      <c r="NA47" s="134">
        <f t="shared" si="23"/>
        <v>0</v>
      </c>
      <c r="NB47" s="134">
        <f t="shared" si="23"/>
        <v>0</v>
      </c>
      <c r="NC47" s="134">
        <f t="shared" si="23"/>
        <v>0</v>
      </c>
      <c r="ND47" s="134">
        <f t="shared" si="23"/>
        <v>0</v>
      </c>
      <c r="NE47" s="134">
        <f t="shared" si="23"/>
        <v>0</v>
      </c>
      <c r="NF47" s="134">
        <f t="shared" ref="NF47" si="24">SUM(NF43:NF46)</f>
        <v>0</v>
      </c>
      <c r="NG47" s="134">
        <f t="shared" si="23"/>
        <v>0</v>
      </c>
      <c r="NH47" s="134">
        <f t="shared" si="23"/>
        <v>0</v>
      </c>
      <c r="NI47" s="134">
        <f t="shared" si="23"/>
        <v>0</v>
      </c>
      <c r="NJ47" s="134">
        <f t="shared" si="23"/>
        <v>0</v>
      </c>
      <c r="NK47" s="134">
        <f t="shared" si="23"/>
        <v>0</v>
      </c>
      <c r="NL47" s="134">
        <f t="shared" si="23"/>
        <v>0</v>
      </c>
      <c r="NM47" s="134">
        <f t="shared" si="23"/>
        <v>0</v>
      </c>
      <c r="NN47" s="134">
        <f t="shared" si="23"/>
        <v>0</v>
      </c>
      <c r="NO47" s="134">
        <f t="shared" si="23"/>
        <v>0</v>
      </c>
      <c r="NP47" s="134">
        <f t="shared" si="23"/>
        <v>0</v>
      </c>
      <c r="NQ47" s="134">
        <f t="shared" si="23"/>
        <v>0</v>
      </c>
      <c r="NR47" s="134">
        <f t="shared" si="23"/>
        <v>0</v>
      </c>
      <c r="NS47" s="134">
        <f t="shared" si="23"/>
        <v>0</v>
      </c>
      <c r="NT47" s="134">
        <f t="shared" si="23"/>
        <v>0</v>
      </c>
      <c r="NU47" s="134">
        <f t="shared" si="23"/>
        <v>0</v>
      </c>
      <c r="NV47" s="134">
        <f t="shared" si="23"/>
        <v>0</v>
      </c>
      <c r="NW47" s="134">
        <f t="shared" si="23"/>
        <v>0</v>
      </c>
      <c r="NX47" s="134">
        <f t="shared" si="23"/>
        <v>0</v>
      </c>
      <c r="NY47" s="134">
        <f t="shared" si="23"/>
        <v>0</v>
      </c>
      <c r="NZ47" s="134">
        <f t="shared" si="23"/>
        <v>0</v>
      </c>
      <c r="OA47" s="134">
        <f t="shared" si="23"/>
        <v>0</v>
      </c>
      <c r="OB47" s="134">
        <f t="shared" si="23"/>
        <v>0</v>
      </c>
      <c r="OC47" s="134">
        <f t="shared" si="23"/>
        <v>0</v>
      </c>
      <c r="OD47" s="134">
        <f t="shared" si="23"/>
        <v>0</v>
      </c>
      <c r="OE47" s="134">
        <f t="shared" si="23"/>
        <v>0</v>
      </c>
      <c r="OF47" s="134">
        <f t="shared" si="23"/>
        <v>0</v>
      </c>
      <c r="OG47" s="134">
        <f t="shared" si="23"/>
        <v>0</v>
      </c>
      <c r="OH47" s="135">
        <f t="shared" si="23"/>
        <v>0</v>
      </c>
    </row>
    <row r="48" spans="1:398" x14ac:dyDescent="0.35">
      <c r="A48" s="102"/>
      <c r="B48" s="168">
        <f t="shared" si="8"/>
        <v>20</v>
      </c>
      <c r="C48" s="171" t="s">
        <v>903</v>
      </c>
      <c r="D48" s="124" t="s">
        <v>751</v>
      </c>
      <c r="E48" s="124" t="s">
        <v>905</v>
      </c>
      <c r="F48" s="125" t="s">
        <v>906</v>
      </c>
      <c r="G48" s="125" t="s">
        <v>739</v>
      </c>
      <c r="H48" s="125"/>
      <c r="I48" s="95">
        <v>0</v>
      </c>
      <c r="J48" s="95">
        <v>0</v>
      </c>
      <c r="K48" s="95">
        <v>0</v>
      </c>
      <c r="L48" s="95">
        <v>0</v>
      </c>
      <c r="M48" s="95">
        <v>0</v>
      </c>
      <c r="N48" s="95">
        <v>0</v>
      </c>
      <c r="O48" s="126">
        <f t="shared" ref="O48:O53" si="25">SUM(P48,R48)</f>
        <v>0</v>
      </c>
      <c r="P48" s="95">
        <v>0</v>
      </c>
      <c r="Q48" s="95">
        <v>0</v>
      </c>
      <c r="R48" s="127"/>
      <c r="S48" s="127"/>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7"/>
      <c r="DV48" s="127"/>
      <c r="DW48" s="127"/>
      <c r="DX48" s="127"/>
      <c r="DY48" s="127"/>
      <c r="DZ48" s="127"/>
      <c r="EA48" s="127"/>
      <c r="EB48" s="127"/>
      <c r="EC48" s="127"/>
      <c r="ED48" s="127"/>
      <c r="EE48" s="127"/>
      <c r="EF48" s="127"/>
      <c r="EG48" s="127"/>
      <c r="EH48" s="127"/>
      <c r="EI48" s="127"/>
      <c r="EJ48" s="127"/>
      <c r="EK48" s="127"/>
      <c r="EL48" s="127"/>
      <c r="EM48" s="127"/>
      <c r="EN48" s="127"/>
      <c r="EO48" s="127"/>
      <c r="EP48" s="127"/>
      <c r="EQ48" s="127"/>
      <c r="ER48" s="127"/>
      <c r="ES48" s="127"/>
      <c r="ET48" s="127"/>
      <c r="EU48" s="127"/>
      <c r="EV48" s="127"/>
      <c r="EW48" s="127"/>
      <c r="EX48" s="127"/>
      <c r="EY48" s="127"/>
      <c r="EZ48" s="127"/>
      <c r="FA48" s="127"/>
      <c r="FB48" s="127"/>
      <c r="FC48" s="127"/>
      <c r="FD48" s="127"/>
      <c r="FE48" s="127"/>
      <c r="FF48" s="127"/>
      <c r="FG48" s="127"/>
      <c r="FH48" s="127"/>
      <c r="FI48" s="127"/>
      <c r="FJ48" s="127"/>
      <c r="FK48" s="127"/>
      <c r="FL48" s="127"/>
      <c r="FM48" s="127"/>
      <c r="FN48" s="127"/>
      <c r="FO48" s="127"/>
      <c r="FP48" s="127"/>
      <c r="FQ48" s="127"/>
      <c r="FR48" s="127"/>
      <c r="FS48" s="127"/>
      <c r="FT48" s="127"/>
      <c r="FU48" s="127"/>
      <c r="FV48" s="127"/>
      <c r="FW48" s="127"/>
      <c r="FX48" s="127"/>
      <c r="FY48" s="127"/>
      <c r="FZ48" s="127"/>
      <c r="GA48" s="127"/>
      <c r="GB48" s="127"/>
      <c r="GC48" s="127"/>
      <c r="GD48" s="127"/>
      <c r="GE48" s="127"/>
      <c r="GF48" s="127"/>
      <c r="GG48" s="127"/>
      <c r="GH48" s="127"/>
      <c r="GI48" s="127"/>
      <c r="GJ48" s="127"/>
      <c r="GK48" s="127"/>
      <c r="GL48" s="127"/>
      <c r="GM48" s="127"/>
      <c r="GN48" s="127"/>
      <c r="GO48" s="127"/>
      <c r="GP48" s="127"/>
      <c r="GQ48" s="127"/>
      <c r="GR48" s="127"/>
      <c r="GS48" s="127"/>
      <c r="GT48" s="127"/>
      <c r="GU48" s="127"/>
      <c r="GV48" s="127"/>
      <c r="GW48" s="127"/>
      <c r="GX48" s="127"/>
      <c r="GY48" s="127"/>
      <c r="GZ48" s="127"/>
      <c r="HA48" s="127"/>
      <c r="HB48" s="127"/>
      <c r="HC48" s="127"/>
      <c r="HD48" s="127"/>
      <c r="HE48" s="127"/>
      <c r="HF48" s="127"/>
      <c r="HG48" s="127"/>
      <c r="HH48" s="127"/>
      <c r="HI48" s="127"/>
      <c r="HJ48" s="127"/>
      <c r="HK48" s="127"/>
      <c r="HL48" s="127"/>
      <c r="HM48" s="127"/>
      <c r="HN48" s="127"/>
      <c r="HO48" s="127"/>
      <c r="HP48" s="127"/>
      <c r="HQ48" s="127"/>
      <c r="HR48" s="127"/>
      <c r="HS48" s="127"/>
      <c r="HT48" s="127"/>
      <c r="HU48" s="127"/>
      <c r="HV48" s="127"/>
      <c r="HW48" s="127"/>
      <c r="HX48" s="127"/>
      <c r="HY48" s="127"/>
      <c r="HZ48" s="127"/>
      <c r="IA48" s="127"/>
      <c r="IB48" s="127"/>
      <c r="IC48" s="127"/>
      <c r="ID48" s="127"/>
      <c r="IE48" s="127"/>
      <c r="IF48" s="127"/>
      <c r="IG48" s="127"/>
      <c r="IH48" s="127"/>
      <c r="II48" s="127"/>
      <c r="IJ48" s="127"/>
      <c r="IK48" s="127"/>
      <c r="IL48" s="127"/>
      <c r="IM48" s="127"/>
      <c r="IN48" s="127"/>
      <c r="IO48" s="127"/>
      <c r="IP48" s="127"/>
      <c r="IQ48" s="127"/>
      <c r="IR48" s="127"/>
      <c r="IS48" s="127"/>
      <c r="IT48" s="127"/>
      <c r="IU48" s="127"/>
      <c r="IV48" s="127"/>
      <c r="IW48" s="127"/>
      <c r="IX48" s="127"/>
      <c r="IY48" s="127"/>
      <c r="IZ48" s="127"/>
      <c r="JA48" s="127"/>
      <c r="JB48" s="127"/>
      <c r="JC48" s="127"/>
      <c r="JD48" s="127"/>
      <c r="JE48" s="127"/>
      <c r="JF48" s="127"/>
      <c r="JG48" s="127"/>
      <c r="JH48" s="127"/>
      <c r="JI48" s="127"/>
      <c r="JJ48" s="127"/>
      <c r="JK48" s="127"/>
      <c r="JL48" s="127"/>
      <c r="JM48" s="127"/>
      <c r="JN48" s="127"/>
      <c r="JO48" s="127"/>
      <c r="JP48" s="127"/>
      <c r="JQ48" s="127"/>
      <c r="JR48" s="127"/>
      <c r="JS48" s="127"/>
      <c r="JT48" s="127"/>
      <c r="JU48" s="127"/>
      <c r="JV48" s="127"/>
      <c r="JW48" s="127"/>
      <c r="JX48" s="127"/>
      <c r="JY48" s="127"/>
      <c r="JZ48" s="127"/>
      <c r="KA48" s="127"/>
      <c r="KB48" s="127"/>
      <c r="KC48" s="127"/>
      <c r="KD48" s="127"/>
      <c r="KE48" s="127"/>
      <c r="KF48" s="127"/>
      <c r="KG48" s="127"/>
      <c r="KH48" s="127"/>
      <c r="KI48" s="127"/>
      <c r="KJ48" s="127"/>
      <c r="KK48" s="127"/>
      <c r="KL48" s="127"/>
      <c r="KM48" s="127"/>
      <c r="KN48" s="127"/>
      <c r="KO48" s="127"/>
      <c r="KP48" s="127"/>
      <c r="KQ48" s="127"/>
      <c r="KR48" s="127"/>
      <c r="KS48" s="127"/>
      <c r="KT48" s="127"/>
      <c r="KU48" s="127"/>
      <c r="KV48" s="127"/>
      <c r="KW48" s="127"/>
      <c r="KX48" s="127"/>
      <c r="KY48" s="127"/>
      <c r="KZ48" s="127"/>
      <c r="LA48" s="127"/>
      <c r="LB48" s="127"/>
      <c r="LC48" s="127"/>
      <c r="LD48" s="127"/>
      <c r="LE48" s="127"/>
      <c r="LF48" s="127"/>
      <c r="LG48" s="127"/>
      <c r="LH48" s="127"/>
      <c r="LI48" s="127"/>
      <c r="LJ48" s="127"/>
      <c r="LK48" s="127"/>
      <c r="LL48" s="127"/>
      <c r="LM48" s="127"/>
      <c r="LN48" s="127"/>
      <c r="LO48" s="127"/>
      <c r="LP48" s="127"/>
      <c r="LQ48" s="127"/>
      <c r="LR48" s="127"/>
      <c r="LS48" s="127"/>
      <c r="LT48" s="127"/>
      <c r="LU48" s="127"/>
      <c r="LV48" s="127"/>
      <c r="LW48" s="127"/>
      <c r="LX48" s="127"/>
      <c r="LY48" s="127"/>
      <c r="LZ48" s="127"/>
      <c r="MA48" s="127"/>
      <c r="MB48" s="127"/>
      <c r="MC48" s="127"/>
      <c r="MD48" s="127"/>
      <c r="ME48" s="127"/>
      <c r="MF48" s="127"/>
      <c r="MG48" s="127"/>
      <c r="MH48" s="127"/>
      <c r="MI48" s="127"/>
      <c r="MJ48" s="127"/>
      <c r="MK48" s="127"/>
      <c r="ML48" s="127"/>
      <c r="MM48" s="127"/>
      <c r="MN48" s="127"/>
      <c r="MO48" s="127"/>
      <c r="MP48" s="127"/>
      <c r="MQ48" s="127"/>
      <c r="MR48" s="127"/>
      <c r="MS48" s="127"/>
      <c r="MT48" s="127"/>
      <c r="MU48" s="127"/>
      <c r="MV48" s="127"/>
      <c r="MW48" s="127"/>
      <c r="MX48" s="127"/>
      <c r="MY48" s="127"/>
      <c r="MZ48" s="127"/>
      <c r="NA48" s="127"/>
      <c r="NB48" s="127"/>
      <c r="NC48" s="127"/>
      <c r="ND48" s="127"/>
      <c r="NE48" s="127"/>
      <c r="NF48" s="127"/>
      <c r="NG48" s="127"/>
      <c r="NH48" s="127"/>
      <c r="NI48" s="127"/>
      <c r="NJ48" s="127"/>
      <c r="NK48" s="127"/>
      <c r="NL48" s="127"/>
      <c r="NM48" s="127"/>
      <c r="NN48" s="127"/>
      <c r="NO48" s="127"/>
      <c r="NP48" s="127"/>
      <c r="NQ48" s="127"/>
      <c r="NR48" s="127"/>
      <c r="NS48" s="127"/>
      <c r="NT48" s="127"/>
      <c r="NU48" s="127"/>
      <c r="NV48" s="127"/>
      <c r="NW48" s="127"/>
      <c r="NX48" s="127"/>
      <c r="NY48" s="127"/>
      <c r="NZ48" s="127"/>
      <c r="OA48" s="127"/>
      <c r="OB48" s="127"/>
      <c r="OC48" s="127"/>
      <c r="OD48" s="127"/>
      <c r="OE48" s="127"/>
      <c r="OF48" s="127"/>
      <c r="OG48" s="127"/>
      <c r="OH48" s="128"/>
    </row>
    <row r="49" spans="1:398" x14ac:dyDescent="0.35">
      <c r="A49" s="102"/>
      <c r="B49" s="168">
        <f t="shared" si="8"/>
        <v>21</v>
      </c>
      <c r="C49" s="171" t="s">
        <v>903</v>
      </c>
      <c r="D49" s="124" t="s">
        <v>751</v>
      </c>
      <c r="E49" s="124" t="s">
        <v>905</v>
      </c>
      <c r="F49" s="125" t="s">
        <v>906</v>
      </c>
      <c r="G49" s="125" t="s">
        <v>740</v>
      </c>
      <c r="H49" s="125"/>
      <c r="I49" s="129">
        <v>0</v>
      </c>
      <c r="J49" s="129">
        <v>0</v>
      </c>
      <c r="K49" s="129">
        <v>0</v>
      </c>
      <c r="L49" s="129">
        <v>0</v>
      </c>
      <c r="M49" s="129">
        <v>0</v>
      </c>
      <c r="N49" s="129">
        <v>0</v>
      </c>
      <c r="O49" s="130">
        <f t="shared" si="25"/>
        <v>0</v>
      </c>
      <c r="P49" s="129">
        <v>0</v>
      </c>
      <c r="Q49" s="129">
        <v>0</v>
      </c>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31"/>
      <c r="BU49" s="131"/>
      <c r="BV49" s="131"/>
      <c r="BW49" s="131"/>
      <c r="BX49" s="131"/>
      <c r="BY49" s="131"/>
      <c r="BZ49" s="131"/>
      <c r="CA49" s="131"/>
      <c r="CB49" s="131"/>
      <c r="CC49" s="131"/>
      <c r="CD49" s="131"/>
      <c r="CE49" s="131"/>
      <c r="CF49" s="131"/>
      <c r="CG49" s="131"/>
      <c r="CH49" s="131"/>
      <c r="CI49" s="131"/>
      <c r="CJ49" s="131"/>
      <c r="CK49" s="131"/>
      <c r="CL49" s="131"/>
      <c r="CM49" s="131"/>
      <c r="CN49" s="131"/>
      <c r="CO49" s="131"/>
      <c r="CP49" s="131"/>
      <c r="CQ49" s="131"/>
      <c r="CR49" s="131"/>
      <c r="CS49" s="131"/>
      <c r="CT49" s="131"/>
      <c r="CU49" s="131"/>
      <c r="CV49" s="131"/>
      <c r="CW49" s="131"/>
      <c r="CX49" s="131"/>
      <c r="CY49" s="131"/>
      <c r="CZ49" s="131"/>
      <c r="DA49" s="131"/>
      <c r="DB49" s="131"/>
      <c r="DC49" s="131"/>
      <c r="DD49" s="131"/>
      <c r="DE49" s="131"/>
      <c r="DF49" s="131"/>
      <c r="DG49" s="131"/>
      <c r="DH49" s="131"/>
      <c r="DI49" s="131"/>
      <c r="DJ49" s="131"/>
      <c r="DK49" s="131"/>
      <c r="DL49" s="131"/>
      <c r="DM49" s="131"/>
      <c r="DN49" s="131"/>
      <c r="DO49" s="131"/>
      <c r="DP49" s="131"/>
      <c r="DQ49" s="131"/>
      <c r="DR49" s="131"/>
      <c r="DS49" s="131"/>
      <c r="DT49" s="131"/>
      <c r="DU49" s="131"/>
      <c r="DV49" s="131"/>
      <c r="DW49" s="131"/>
      <c r="DX49" s="131"/>
      <c r="DY49" s="131"/>
      <c r="DZ49" s="131"/>
      <c r="EA49" s="131"/>
      <c r="EB49" s="131"/>
      <c r="EC49" s="131"/>
      <c r="ED49" s="131"/>
      <c r="EE49" s="131"/>
      <c r="EF49" s="131"/>
      <c r="EG49" s="131"/>
      <c r="EH49" s="131"/>
      <c r="EI49" s="131"/>
      <c r="EJ49" s="131"/>
      <c r="EK49" s="131"/>
      <c r="EL49" s="131"/>
      <c r="EM49" s="131"/>
      <c r="EN49" s="131"/>
      <c r="EO49" s="131"/>
      <c r="EP49" s="131"/>
      <c r="EQ49" s="131"/>
      <c r="ER49" s="131"/>
      <c r="ES49" s="131"/>
      <c r="ET49" s="131"/>
      <c r="EU49" s="131"/>
      <c r="EV49" s="131"/>
      <c r="EW49" s="131"/>
      <c r="EX49" s="131"/>
      <c r="EY49" s="131"/>
      <c r="EZ49" s="131"/>
      <c r="FA49" s="131"/>
      <c r="FB49" s="131"/>
      <c r="FC49" s="131"/>
      <c r="FD49" s="131"/>
      <c r="FE49" s="131"/>
      <c r="FF49" s="131"/>
      <c r="FG49" s="131"/>
      <c r="FH49" s="131"/>
      <c r="FI49" s="131"/>
      <c r="FJ49" s="131"/>
      <c r="FK49" s="131"/>
      <c r="FL49" s="131"/>
      <c r="FM49" s="131"/>
      <c r="FN49" s="131"/>
      <c r="FO49" s="131"/>
      <c r="FP49" s="131"/>
      <c r="FQ49" s="131"/>
      <c r="FR49" s="131"/>
      <c r="FS49" s="131"/>
      <c r="FT49" s="131"/>
      <c r="FU49" s="131"/>
      <c r="FV49" s="131"/>
      <c r="FW49" s="131"/>
      <c r="FX49" s="131"/>
      <c r="FY49" s="131"/>
      <c r="FZ49" s="131"/>
      <c r="GA49" s="131"/>
      <c r="GB49" s="131"/>
      <c r="GC49" s="131"/>
      <c r="GD49" s="131"/>
      <c r="GE49" s="131"/>
      <c r="GF49" s="131"/>
      <c r="GG49" s="131"/>
      <c r="GH49" s="131"/>
      <c r="GI49" s="131"/>
      <c r="GJ49" s="131"/>
      <c r="GK49" s="131"/>
      <c r="GL49" s="131"/>
      <c r="GM49" s="131"/>
      <c r="GN49" s="131"/>
      <c r="GO49" s="131"/>
      <c r="GP49" s="131"/>
      <c r="GQ49" s="131"/>
      <c r="GR49" s="131"/>
      <c r="GS49" s="131"/>
      <c r="GT49" s="131"/>
      <c r="GU49" s="131"/>
      <c r="GV49" s="131"/>
      <c r="GW49" s="131"/>
      <c r="GX49" s="131"/>
      <c r="GY49" s="131"/>
      <c r="GZ49" s="131"/>
      <c r="HA49" s="131"/>
      <c r="HB49" s="131"/>
      <c r="HC49" s="131"/>
      <c r="HD49" s="131"/>
      <c r="HE49" s="131"/>
      <c r="HF49" s="131"/>
      <c r="HG49" s="131"/>
      <c r="HH49" s="131"/>
      <c r="HI49" s="131"/>
      <c r="HJ49" s="131"/>
      <c r="HK49" s="131"/>
      <c r="HL49" s="131"/>
      <c r="HM49" s="131"/>
      <c r="HN49" s="131"/>
      <c r="HO49" s="131"/>
      <c r="HP49" s="131"/>
      <c r="HQ49" s="131"/>
      <c r="HR49" s="131"/>
      <c r="HS49" s="131"/>
      <c r="HT49" s="131"/>
      <c r="HU49" s="131"/>
      <c r="HV49" s="131"/>
      <c r="HW49" s="131"/>
      <c r="HX49" s="131"/>
      <c r="HY49" s="131"/>
      <c r="HZ49" s="131"/>
      <c r="IA49" s="131"/>
      <c r="IB49" s="131"/>
      <c r="IC49" s="131"/>
      <c r="ID49" s="131"/>
      <c r="IE49" s="131"/>
      <c r="IF49" s="131"/>
      <c r="IG49" s="131"/>
      <c r="IH49" s="131"/>
      <c r="II49" s="131"/>
      <c r="IJ49" s="131"/>
      <c r="IK49" s="131"/>
      <c r="IL49" s="131"/>
      <c r="IM49" s="131"/>
      <c r="IN49" s="131"/>
      <c r="IO49" s="131"/>
      <c r="IP49" s="131"/>
      <c r="IQ49" s="131"/>
      <c r="IR49" s="131"/>
      <c r="IS49" s="131"/>
      <c r="IT49" s="131"/>
      <c r="IU49" s="131"/>
      <c r="IV49" s="131"/>
      <c r="IW49" s="131"/>
      <c r="IX49" s="131"/>
      <c r="IY49" s="131"/>
      <c r="IZ49" s="131"/>
      <c r="JA49" s="131"/>
      <c r="JB49" s="131"/>
      <c r="JC49" s="131"/>
      <c r="JD49" s="131"/>
      <c r="JE49" s="131"/>
      <c r="JF49" s="131"/>
      <c r="JG49" s="131"/>
      <c r="JH49" s="131"/>
      <c r="JI49" s="131"/>
      <c r="JJ49" s="131"/>
      <c r="JK49" s="131"/>
      <c r="JL49" s="131"/>
      <c r="JM49" s="131"/>
      <c r="JN49" s="131"/>
      <c r="JO49" s="131"/>
      <c r="JP49" s="131"/>
      <c r="JQ49" s="131"/>
      <c r="JR49" s="131"/>
      <c r="JS49" s="131"/>
      <c r="JT49" s="131"/>
      <c r="JU49" s="131"/>
      <c r="JV49" s="131"/>
      <c r="JW49" s="131"/>
      <c r="JX49" s="131"/>
      <c r="JY49" s="131"/>
      <c r="JZ49" s="131"/>
      <c r="KA49" s="131"/>
      <c r="KB49" s="131"/>
      <c r="KC49" s="131"/>
      <c r="KD49" s="131"/>
      <c r="KE49" s="131"/>
      <c r="KF49" s="131"/>
      <c r="KG49" s="131"/>
      <c r="KH49" s="131"/>
      <c r="KI49" s="131"/>
      <c r="KJ49" s="131"/>
      <c r="KK49" s="131"/>
      <c r="KL49" s="131"/>
      <c r="KM49" s="131"/>
      <c r="KN49" s="131"/>
      <c r="KO49" s="131"/>
      <c r="KP49" s="131"/>
      <c r="KQ49" s="131"/>
      <c r="KR49" s="131"/>
      <c r="KS49" s="131"/>
      <c r="KT49" s="131"/>
      <c r="KU49" s="131"/>
      <c r="KV49" s="131"/>
      <c r="KW49" s="131"/>
      <c r="KX49" s="131"/>
      <c r="KY49" s="131"/>
      <c r="KZ49" s="131"/>
      <c r="LA49" s="131"/>
      <c r="LB49" s="131"/>
      <c r="LC49" s="131"/>
      <c r="LD49" s="131"/>
      <c r="LE49" s="131"/>
      <c r="LF49" s="131"/>
      <c r="LG49" s="131"/>
      <c r="LH49" s="131"/>
      <c r="LI49" s="131"/>
      <c r="LJ49" s="131"/>
      <c r="LK49" s="131"/>
      <c r="LL49" s="131"/>
      <c r="LM49" s="131"/>
      <c r="LN49" s="131"/>
      <c r="LO49" s="131"/>
      <c r="LP49" s="131"/>
      <c r="LQ49" s="131"/>
      <c r="LR49" s="131"/>
      <c r="LS49" s="131"/>
      <c r="LT49" s="131"/>
      <c r="LU49" s="131"/>
      <c r="LV49" s="131"/>
      <c r="LW49" s="131"/>
      <c r="LX49" s="131"/>
      <c r="LY49" s="131"/>
      <c r="LZ49" s="131"/>
      <c r="MA49" s="131"/>
      <c r="MB49" s="131"/>
      <c r="MC49" s="131"/>
      <c r="MD49" s="131"/>
      <c r="ME49" s="131"/>
      <c r="MF49" s="131"/>
      <c r="MG49" s="131"/>
      <c r="MH49" s="131"/>
      <c r="MI49" s="131"/>
      <c r="MJ49" s="131"/>
      <c r="MK49" s="131"/>
      <c r="ML49" s="131"/>
      <c r="MM49" s="131"/>
      <c r="MN49" s="131"/>
      <c r="MO49" s="131"/>
      <c r="MP49" s="131"/>
      <c r="MQ49" s="131"/>
      <c r="MR49" s="131"/>
      <c r="MS49" s="131"/>
      <c r="MT49" s="131"/>
      <c r="MU49" s="131"/>
      <c r="MV49" s="131"/>
      <c r="MW49" s="131"/>
      <c r="MX49" s="131"/>
      <c r="MY49" s="131"/>
      <c r="MZ49" s="131"/>
      <c r="NA49" s="131"/>
      <c r="NB49" s="131"/>
      <c r="NC49" s="131"/>
      <c r="ND49" s="131"/>
      <c r="NE49" s="131"/>
      <c r="NF49" s="131"/>
      <c r="NG49" s="131"/>
      <c r="NH49" s="131"/>
      <c r="NI49" s="131"/>
      <c r="NJ49" s="131"/>
      <c r="NK49" s="131"/>
      <c r="NL49" s="131"/>
      <c r="NM49" s="131"/>
      <c r="NN49" s="131"/>
      <c r="NO49" s="131"/>
      <c r="NP49" s="131"/>
      <c r="NQ49" s="131"/>
      <c r="NR49" s="131"/>
      <c r="NS49" s="131"/>
      <c r="NT49" s="131"/>
      <c r="NU49" s="131"/>
      <c r="NV49" s="131"/>
      <c r="NW49" s="131"/>
      <c r="NX49" s="131"/>
      <c r="NY49" s="131"/>
      <c r="NZ49" s="131"/>
      <c r="OA49" s="131"/>
      <c r="OB49" s="131"/>
      <c r="OC49" s="131"/>
      <c r="OD49" s="131"/>
      <c r="OE49" s="131"/>
      <c r="OF49" s="131"/>
      <c r="OG49" s="131"/>
      <c r="OH49" s="132"/>
    </row>
    <row r="50" spans="1:398" x14ac:dyDescent="0.35">
      <c r="A50" s="102"/>
      <c r="B50" s="168">
        <f t="shared" si="8"/>
        <v>22</v>
      </c>
      <c r="C50" s="171" t="s">
        <v>903</v>
      </c>
      <c r="D50" s="124" t="s">
        <v>751</v>
      </c>
      <c r="E50" s="124" t="s">
        <v>905</v>
      </c>
      <c r="F50" s="125" t="s">
        <v>906</v>
      </c>
      <c r="G50" s="125" t="s">
        <v>741</v>
      </c>
      <c r="H50" s="125"/>
      <c r="I50" s="129">
        <v>0</v>
      </c>
      <c r="J50" s="129">
        <v>0</v>
      </c>
      <c r="K50" s="129">
        <v>0</v>
      </c>
      <c r="L50" s="129">
        <v>0</v>
      </c>
      <c r="M50" s="129">
        <v>0</v>
      </c>
      <c r="N50" s="129">
        <v>0</v>
      </c>
      <c r="O50" s="130">
        <f t="shared" si="25"/>
        <v>0</v>
      </c>
      <c r="P50" s="129">
        <v>0</v>
      </c>
      <c r="Q50" s="129">
        <v>0</v>
      </c>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31"/>
      <c r="BU50" s="131"/>
      <c r="BV50" s="131"/>
      <c r="BW50" s="131"/>
      <c r="BX50" s="131"/>
      <c r="BY50" s="131"/>
      <c r="BZ50" s="131"/>
      <c r="CA50" s="131"/>
      <c r="CB50" s="131"/>
      <c r="CC50" s="131"/>
      <c r="CD50" s="131"/>
      <c r="CE50" s="131"/>
      <c r="CF50" s="131"/>
      <c r="CG50" s="131"/>
      <c r="CH50" s="131"/>
      <c r="CI50" s="131"/>
      <c r="CJ50" s="131"/>
      <c r="CK50" s="131"/>
      <c r="CL50" s="131"/>
      <c r="CM50" s="131"/>
      <c r="CN50" s="131"/>
      <c r="CO50" s="131"/>
      <c r="CP50" s="131"/>
      <c r="CQ50" s="131"/>
      <c r="CR50" s="131"/>
      <c r="CS50" s="131"/>
      <c r="CT50" s="131"/>
      <c r="CU50" s="131"/>
      <c r="CV50" s="131"/>
      <c r="CW50" s="131"/>
      <c r="CX50" s="131"/>
      <c r="CY50" s="131"/>
      <c r="CZ50" s="131"/>
      <c r="DA50" s="131"/>
      <c r="DB50" s="131"/>
      <c r="DC50" s="131"/>
      <c r="DD50" s="131"/>
      <c r="DE50" s="131"/>
      <c r="DF50" s="131"/>
      <c r="DG50" s="131"/>
      <c r="DH50" s="131"/>
      <c r="DI50" s="131"/>
      <c r="DJ50" s="131"/>
      <c r="DK50" s="131"/>
      <c r="DL50" s="131"/>
      <c r="DM50" s="131"/>
      <c r="DN50" s="131"/>
      <c r="DO50" s="131"/>
      <c r="DP50" s="131"/>
      <c r="DQ50" s="131"/>
      <c r="DR50" s="131"/>
      <c r="DS50" s="131"/>
      <c r="DT50" s="131"/>
      <c r="DU50" s="131"/>
      <c r="DV50" s="131"/>
      <c r="DW50" s="131"/>
      <c r="DX50" s="131"/>
      <c r="DY50" s="131"/>
      <c r="DZ50" s="131"/>
      <c r="EA50" s="131"/>
      <c r="EB50" s="131"/>
      <c r="EC50" s="131"/>
      <c r="ED50" s="131"/>
      <c r="EE50" s="131"/>
      <c r="EF50" s="131"/>
      <c r="EG50" s="131"/>
      <c r="EH50" s="131"/>
      <c r="EI50" s="131"/>
      <c r="EJ50" s="131"/>
      <c r="EK50" s="131"/>
      <c r="EL50" s="131"/>
      <c r="EM50" s="131"/>
      <c r="EN50" s="131"/>
      <c r="EO50" s="131"/>
      <c r="EP50" s="131"/>
      <c r="EQ50" s="131"/>
      <c r="ER50" s="131"/>
      <c r="ES50" s="131"/>
      <c r="ET50" s="131"/>
      <c r="EU50" s="131"/>
      <c r="EV50" s="131"/>
      <c r="EW50" s="131"/>
      <c r="EX50" s="131"/>
      <c r="EY50" s="131"/>
      <c r="EZ50" s="131"/>
      <c r="FA50" s="131"/>
      <c r="FB50" s="131"/>
      <c r="FC50" s="131"/>
      <c r="FD50" s="131"/>
      <c r="FE50" s="131"/>
      <c r="FF50" s="131"/>
      <c r="FG50" s="131"/>
      <c r="FH50" s="131"/>
      <c r="FI50" s="131"/>
      <c r="FJ50" s="131"/>
      <c r="FK50" s="131"/>
      <c r="FL50" s="131"/>
      <c r="FM50" s="131"/>
      <c r="FN50" s="131"/>
      <c r="FO50" s="131"/>
      <c r="FP50" s="131"/>
      <c r="FQ50" s="131"/>
      <c r="FR50" s="131"/>
      <c r="FS50" s="131"/>
      <c r="FT50" s="131"/>
      <c r="FU50" s="131"/>
      <c r="FV50" s="131"/>
      <c r="FW50" s="131"/>
      <c r="FX50" s="131"/>
      <c r="FY50" s="131"/>
      <c r="FZ50" s="131"/>
      <c r="GA50" s="131"/>
      <c r="GB50" s="131"/>
      <c r="GC50" s="131"/>
      <c r="GD50" s="131"/>
      <c r="GE50" s="131"/>
      <c r="GF50" s="131"/>
      <c r="GG50" s="131"/>
      <c r="GH50" s="131"/>
      <c r="GI50" s="131"/>
      <c r="GJ50" s="131"/>
      <c r="GK50" s="131"/>
      <c r="GL50" s="131"/>
      <c r="GM50" s="131"/>
      <c r="GN50" s="131"/>
      <c r="GO50" s="131"/>
      <c r="GP50" s="131"/>
      <c r="GQ50" s="131"/>
      <c r="GR50" s="131"/>
      <c r="GS50" s="131"/>
      <c r="GT50" s="131"/>
      <c r="GU50" s="131"/>
      <c r="GV50" s="131"/>
      <c r="GW50" s="131"/>
      <c r="GX50" s="131"/>
      <c r="GY50" s="131"/>
      <c r="GZ50" s="131"/>
      <c r="HA50" s="131"/>
      <c r="HB50" s="131"/>
      <c r="HC50" s="131"/>
      <c r="HD50" s="131"/>
      <c r="HE50" s="131"/>
      <c r="HF50" s="131"/>
      <c r="HG50" s="131"/>
      <c r="HH50" s="131"/>
      <c r="HI50" s="131"/>
      <c r="HJ50" s="131"/>
      <c r="HK50" s="131"/>
      <c r="HL50" s="131"/>
      <c r="HM50" s="131"/>
      <c r="HN50" s="131"/>
      <c r="HO50" s="131"/>
      <c r="HP50" s="131"/>
      <c r="HQ50" s="131"/>
      <c r="HR50" s="131"/>
      <c r="HS50" s="131"/>
      <c r="HT50" s="131"/>
      <c r="HU50" s="131"/>
      <c r="HV50" s="131"/>
      <c r="HW50" s="131"/>
      <c r="HX50" s="131"/>
      <c r="HY50" s="131"/>
      <c r="HZ50" s="131"/>
      <c r="IA50" s="131"/>
      <c r="IB50" s="131"/>
      <c r="IC50" s="131"/>
      <c r="ID50" s="131"/>
      <c r="IE50" s="131"/>
      <c r="IF50" s="131"/>
      <c r="IG50" s="131"/>
      <c r="IH50" s="131"/>
      <c r="II50" s="131"/>
      <c r="IJ50" s="131"/>
      <c r="IK50" s="131"/>
      <c r="IL50" s="131"/>
      <c r="IM50" s="131"/>
      <c r="IN50" s="131"/>
      <c r="IO50" s="131"/>
      <c r="IP50" s="131"/>
      <c r="IQ50" s="131"/>
      <c r="IR50" s="131"/>
      <c r="IS50" s="131"/>
      <c r="IT50" s="131"/>
      <c r="IU50" s="131"/>
      <c r="IV50" s="131"/>
      <c r="IW50" s="131"/>
      <c r="IX50" s="131"/>
      <c r="IY50" s="131"/>
      <c r="IZ50" s="131"/>
      <c r="JA50" s="131"/>
      <c r="JB50" s="131"/>
      <c r="JC50" s="131"/>
      <c r="JD50" s="131"/>
      <c r="JE50" s="131"/>
      <c r="JF50" s="131"/>
      <c r="JG50" s="131"/>
      <c r="JH50" s="131"/>
      <c r="JI50" s="131"/>
      <c r="JJ50" s="131"/>
      <c r="JK50" s="131"/>
      <c r="JL50" s="131"/>
      <c r="JM50" s="131"/>
      <c r="JN50" s="131"/>
      <c r="JO50" s="131"/>
      <c r="JP50" s="131"/>
      <c r="JQ50" s="131"/>
      <c r="JR50" s="131"/>
      <c r="JS50" s="131"/>
      <c r="JT50" s="131"/>
      <c r="JU50" s="131"/>
      <c r="JV50" s="131"/>
      <c r="JW50" s="131"/>
      <c r="JX50" s="131"/>
      <c r="JY50" s="131"/>
      <c r="JZ50" s="131"/>
      <c r="KA50" s="131"/>
      <c r="KB50" s="131"/>
      <c r="KC50" s="131"/>
      <c r="KD50" s="131"/>
      <c r="KE50" s="131"/>
      <c r="KF50" s="131"/>
      <c r="KG50" s="131"/>
      <c r="KH50" s="131"/>
      <c r="KI50" s="131"/>
      <c r="KJ50" s="131"/>
      <c r="KK50" s="131"/>
      <c r="KL50" s="131"/>
      <c r="KM50" s="131"/>
      <c r="KN50" s="131"/>
      <c r="KO50" s="131"/>
      <c r="KP50" s="131"/>
      <c r="KQ50" s="131"/>
      <c r="KR50" s="131"/>
      <c r="KS50" s="131"/>
      <c r="KT50" s="131"/>
      <c r="KU50" s="131"/>
      <c r="KV50" s="131"/>
      <c r="KW50" s="131"/>
      <c r="KX50" s="131"/>
      <c r="KY50" s="131"/>
      <c r="KZ50" s="131"/>
      <c r="LA50" s="131"/>
      <c r="LB50" s="131"/>
      <c r="LC50" s="131"/>
      <c r="LD50" s="131"/>
      <c r="LE50" s="131"/>
      <c r="LF50" s="131"/>
      <c r="LG50" s="131"/>
      <c r="LH50" s="131"/>
      <c r="LI50" s="131"/>
      <c r="LJ50" s="131"/>
      <c r="LK50" s="131"/>
      <c r="LL50" s="131"/>
      <c r="LM50" s="131"/>
      <c r="LN50" s="131"/>
      <c r="LO50" s="131"/>
      <c r="LP50" s="131"/>
      <c r="LQ50" s="131"/>
      <c r="LR50" s="131"/>
      <c r="LS50" s="131"/>
      <c r="LT50" s="131"/>
      <c r="LU50" s="131"/>
      <c r="LV50" s="131"/>
      <c r="LW50" s="131"/>
      <c r="LX50" s="131"/>
      <c r="LY50" s="131"/>
      <c r="LZ50" s="131"/>
      <c r="MA50" s="131"/>
      <c r="MB50" s="131"/>
      <c r="MC50" s="131"/>
      <c r="MD50" s="131"/>
      <c r="ME50" s="131"/>
      <c r="MF50" s="131"/>
      <c r="MG50" s="131"/>
      <c r="MH50" s="131"/>
      <c r="MI50" s="131"/>
      <c r="MJ50" s="131"/>
      <c r="MK50" s="131"/>
      <c r="ML50" s="131"/>
      <c r="MM50" s="131"/>
      <c r="MN50" s="131"/>
      <c r="MO50" s="131"/>
      <c r="MP50" s="131"/>
      <c r="MQ50" s="131"/>
      <c r="MR50" s="131"/>
      <c r="MS50" s="131"/>
      <c r="MT50" s="131"/>
      <c r="MU50" s="131"/>
      <c r="MV50" s="131"/>
      <c r="MW50" s="131"/>
      <c r="MX50" s="131"/>
      <c r="MY50" s="131"/>
      <c r="MZ50" s="131"/>
      <c r="NA50" s="131"/>
      <c r="NB50" s="131"/>
      <c r="NC50" s="131"/>
      <c r="ND50" s="131"/>
      <c r="NE50" s="131"/>
      <c r="NF50" s="131"/>
      <c r="NG50" s="131"/>
      <c r="NH50" s="131"/>
      <c r="NI50" s="131"/>
      <c r="NJ50" s="131"/>
      <c r="NK50" s="131"/>
      <c r="NL50" s="131"/>
      <c r="NM50" s="131"/>
      <c r="NN50" s="131"/>
      <c r="NO50" s="131"/>
      <c r="NP50" s="131"/>
      <c r="NQ50" s="131"/>
      <c r="NR50" s="131"/>
      <c r="NS50" s="131"/>
      <c r="NT50" s="131"/>
      <c r="NU50" s="131"/>
      <c r="NV50" s="131"/>
      <c r="NW50" s="131"/>
      <c r="NX50" s="131"/>
      <c r="NY50" s="131"/>
      <c r="NZ50" s="131"/>
      <c r="OA50" s="131"/>
      <c r="OB50" s="131"/>
      <c r="OC50" s="131"/>
      <c r="OD50" s="131"/>
      <c r="OE50" s="131"/>
      <c r="OF50" s="131"/>
      <c r="OG50" s="131"/>
      <c r="OH50" s="132"/>
    </row>
    <row r="51" spans="1:398" x14ac:dyDescent="0.35">
      <c r="A51" s="102"/>
      <c r="B51" s="168">
        <f t="shared" si="8"/>
        <v>23</v>
      </c>
      <c r="C51" s="171" t="s">
        <v>903</v>
      </c>
      <c r="D51" s="124" t="s">
        <v>751</v>
      </c>
      <c r="E51" s="124" t="s">
        <v>905</v>
      </c>
      <c r="F51" s="125" t="s">
        <v>906</v>
      </c>
      <c r="G51" s="125" t="s">
        <v>742</v>
      </c>
      <c r="H51" s="125"/>
      <c r="I51" s="129">
        <v>0</v>
      </c>
      <c r="J51" s="129">
        <v>0</v>
      </c>
      <c r="K51" s="129">
        <v>0</v>
      </c>
      <c r="L51" s="129">
        <v>0</v>
      </c>
      <c r="M51" s="129">
        <v>0</v>
      </c>
      <c r="N51" s="129">
        <v>0</v>
      </c>
      <c r="O51" s="130">
        <f t="shared" si="25"/>
        <v>0</v>
      </c>
      <c r="P51" s="129">
        <v>0</v>
      </c>
      <c r="Q51" s="129">
        <v>0</v>
      </c>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c r="CR51" s="131"/>
      <c r="CS51" s="131"/>
      <c r="CT51" s="131"/>
      <c r="CU51" s="131"/>
      <c r="CV51" s="131"/>
      <c r="CW51" s="131"/>
      <c r="CX51" s="131"/>
      <c r="CY51" s="131"/>
      <c r="CZ51" s="131"/>
      <c r="DA51" s="131"/>
      <c r="DB51" s="131"/>
      <c r="DC51" s="131"/>
      <c r="DD51" s="131"/>
      <c r="DE51" s="131"/>
      <c r="DF51" s="131"/>
      <c r="DG51" s="131"/>
      <c r="DH51" s="131"/>
      <c r="DI51" s="131"/>
      <c r="DJ51" s="131"/>
      <c r="DK51" s="131"/>
      <c r="DL51" s="131"/>
      <c r="DM51" s="131"/>
      <c r="DN51" s="131"/>
      <c r="DO51" s="131"/>
      <c r="DP51" s="131"/>
      <c r="DQ51" s="131"/>
      <c r="DR51" s="131"/>
      <c r="DS51" s="131"/>
      <c r="DT51" s="131"/>
      <c r="DU51" s="131"/>
      <c r="DV51" s="131"/>
      <c r="DW51" s="131"/>
      <c r="DX51" s="131"/>
      <c r="DY51" s="131"/>
      <c r="DZ51" s="131"/>
      <c r="EA51" s="131"/>
      <c r="EB51" s="131"/>
      <c r="EC51" s="131"/>
      <c r="ED51" s="131"/>
      <c r="EE51" s="131"/>
      <c r="EF51" s="131"/>
      <c r="EG51" s="131"/>
      <c r="EH51" s="131"/>
      <c r="EI51" s="131"/>
      <c r="EJ51" s="131"/>
      <c r="EK51" s="131"/>
      <c r="EL51" s="131"/>
      <c r="EM51" s="131"/>
      <c r="EN51" s="131"/>
      <c r="EO51" s="131"/>
      <c r="EP51" s="131"/>
      <c r="EQ51" s="131"/>
      <c r="ER51" s="131"/>
      <c r="ES51" s="131"/>
      <c r="ET51" s="131"/>
      <c r="EU51" s="131"/>
      <c r="EV51" s="131"/>
      <c r="EW51" s="131"/>
      <c r="EX51" s="131"/>
      <c r="EY51" s="131"/>
      <c r="EZ51" s="131"/>
      <c r="FA51" s="131"/>
      <c r="FB51" s="131"/>
      <c r="FC51" s="131"/>
      <c r="FD51" s="131"/>
      <c r="FE51" s="131"/>
      <c r="FF51" s="131"/>
      <c r="FG51" s="131"/>
      <c r="FH51" s="131"/>
      <c r="FI51" s="131"/>
      <c r="FJ51" s="131"/>
      <c r="FK51" s="131"/>
      <c r="FL51" s="131"/>
      <c r="FM51" s="131"/>
      <c r="FN51" s="131"/>
      <c r="FO51" s="131"/>
      <c r="FP51" s="131"/>
      <c r="FQ51" s="131"/>
      <c r="FR51" s="131"/>
      <c r="FS51" s="131"/>
      <c r="FT51" s="131"/>
      <c r="FU51" s="131"/>
      <c r="FV51" s="131"/>
      <c r="FW51" s="131"/>
      <c r="FX51" s="131"/>
      <c r="FY51" s="131"/>
      <c r="FZ51" s="131"/>
      <c r="GA51" s="131"/>
      <c r="GB51" s="131"/>
      <c r="GC51" s="131"/>
      <c r="GD51" s="131"/>
      <c r="GE51" s="131"/>
      <c r="GF51" s="131"/>
      <c r="GG51" s="131"/>
      <c r="GH51" s="131"/>
      <c r="GI51" s="131"/>
      <c r="GJ51" s="131"/>
      <c r="GK51" s="131"/>
      <c r="GL51" s="131"/>
      <c r="GM51" s="131"/>
      <c r="GN51" s="131"/>
      <c r="GO51" s="131"/>
      <c r="GP51" s="131"/>
      <c r="GQ51" s="131"/>
      <c r="GR51" s="131"/>
      <c r="GS51" s="131"/>
      <c r="GT51" s="131"/>
      <c r="GU51" s="131"/>
      <c r="GV51" s="131"/>
      <c r="GW51" s="131"/>
      <c r="GX51" s="131"/>
      <c r="GY51" s="131"/>
      <c r="GZ51" s="131"/>
      <c r="HA51" s="131"/>
      <c r="HB51" s="131"/>
      <c r="HC51" s="131"/>
      <c r="HD51" s="131"/>
      <c r="HE51" s="131"/>
      <c r="HF51" s="131"/>
      <c r="HG51" s="131"/>
      <c r="HH51" s="131"/>
      <c r="HI51" s="131"/>
      <c r="HJ51" s="131"/>
      <c r="HK51" s="131"/>
      <c r="HL51" s="131"/>
      <c r="HM51" s="131"/>
      <c r="HN51" s="131"/>
      <c r="HO51" s="131"/>
      <c r="HP51" s="131"/>
      <c r="HQ51" s="131"/>
      <c r="HR51" s="131"/>
      <c r="HS51" s="131"/>
      <c r="HT51" s="131"/>
      <c r="HU51" s="131"/>
      <c r="HV51" s="131"/>
      <c r="HW51" s="131"/>
      <c r="HX51" s="131"/>
      <c r="HY51" s="131"/>
      <c r="HZ51" s="131"/>
      <c r="IA51" s="131"/>
      <c r="IB51" s="131"/>
      <c r="IC51" s="131"/>
      <c r="ID51" s="131"/>
      <c r="IE51" s="131"/>
      <c r="IF51" s="131"/>
      <c r="IG51" s="131"/>
      <c r="IH51" s="131"/>
      <c r="II51" s="131"/>
      <c r="IJ51" s="131"/>
      <c r="IK51" s="131"/>
      <c r="IL51" s="131"/>
      <c r="IM51" s="131"/>
      <c r="IN51" s="131"/>
      <c r="IO51" s="131"/>
      <c r="IP51" s="131"/>
      <c r="IQ51" s="131"/>
      <c r="IR51" s="131"/>
      <c r="IS51" s="131"/>
      <c r="IT51" s="131"/>
      <c r="IU51" s="131"/>
      <c r="IV51" s="131"/>
      <c r="IW51" s="131"/>
      <c r="IX51" s="131"/>
      <c r="IY51" s="131"/>
      <c r="IZ51" s="131"/>
      <c r="JA51" s="131"/>
      <c r="JB51" s="131"/>
      <c r="JC51" s="131"/>
      <c r="JD51" s="131"/>
      <c r="JE51" s="131"/>
      <c r="JF51" s="131"/>
      <c r="JG51" s="131"/>
      <c r="JH51" s="131"/>
      <c r="JI51" s="131"/>
      <c r="JJ51" s="131"/>
      <c r="JK51" s="131"/>
      <c r="JL51" s="131"/>
      <c r="JM51" s="131"/>
      <c r="JN51" s="131"/>
      <c r="JO51" s="131"/>
      <c r="JP51" s="131"/>
      <c r="JQ51" s="131"/>
      <c r="JR51" s="131"/>
      <c r="JS51" s="131"/>
      <c r="JT51" s="131"/>
      <c r="JU51" s="131"/>
      <c r="JV51" s="131"/>
      <c r="JW51" s="131"/>
      <c r="JX51" s="131"/>
      <c r="JY51" s="131"/>
      <c r="JZ51" s="131"/>
      <c r="KA51" s="131"/>
      <c r="KB51" s="131"/>
      <c r="KC51" s="131"/>
      <c r="KD51" s="131"/>
      <c r="KE51" s="131"/>
      <c r="KF51" s="131"/>
      <c r="KG51" s="131"/>
      <c r="KH51" s="131"/>
      <c r="KI51" s="131"/>
      <c r="KJ51" s="131"/>
      <c r="KK51" s="131"/>
      <c r="KL51" s="131"/>
      <c r="KM51" s="131"/>
      <c r="KN51" s="131"/>
      <c r="KO51" s="131"/>
      <c r="KP51" s="131"/>
      <c r="KQ51" s="131"/>
      <c r="KR51" s="131"/>
      <c r="KS51" s="131"/>
      <c r="KT51" s="131"/>
      <c r="KU51" s="131"/>
      <c r="KV51" s="131"/>
      <c r="KW51" s="131"/>
      <c r="KX51" s="131"/>
      <c r="KY51" s="131"/>
      <c r="KZ51" s="131"/>
      <c r="LA51" s="131"/>
      <c r="LB51" s="131"/>
      <c r="LC51" s="131"/>
      <c r="LD51" s="131"/>
      <c r="LE51" s="131"/>
      <c r="LF51" s="131"/>
      <c r="LG51" s="131"/>
      <c r="LH51" s="131"/>
      <c r="LI51" s="131"/>
      <c r="LJ51" s="131"/>
      <c r="LK51" s="131"/>
      <c r="LL51" s="131"/>
      <c r="LM51" s="131"/>
      <c r="LN51" s="131"/>
      <c r="LO51" s="131"/>
      <c r="LP51" s="131"/>
      <c r="LQ51" s="131"/>
      <c r="LR51" s="131"/>
      <c r="LS51" s="131"/>
      <c r="LT51" s="131"/>
      <c r="LU51" s="131"/>
      <c r="LV51" s="131"/>
      <c r="LW51" s="131"/>
      <c r="LX51" s="131"/>
      <c r="LY51" s="131"/>
      <c r="LZ51" s="131"/>
      <c r="MA51" s="131"/>
      <c r="MB51" s="131"/>
      <c r="MC51" s="131"/>
      <c r="MD51" s="131"/>
      <c r="ME51" s="131"/>
      <c r="MF51" s="131"/>
      <c r="MG51" s="131"/>
      <c r="MH51" s="131"/>
      <c r="MI51" s="131"/>
      <c r="MJ51" s="131"/>
      <c r="MK51" s="131"/>
      <c r="ML51" s="131"/>
      <c r="MM51" s="131"/>
      <c r="MN51" s="131"/>
      <c r="MO51" s="131"/>
      <c r="MP51" s="131"/>
      <c r="MQ51" s="131"/>
      <c r="MR51" s="131"/>
      <c r="MS51" s="131"/>
      <c r="MT51" s="131"/>
      <c r="MU51" s="131"/>
      <c r="MV51" s="131"/>
      <c r="MW51" s="131"/>
      <c r="MX51" s="131"/>
      <c r="MY51" s="131"/>
      <c r="MZ51" s="131"/>
      <c r="NA51" s="131"/>
      <c r="NB51" s="131"/>
      <c r="NC51" s="131"/>
      <c r="ND51" s="131"/>
      <c r="NE51" s="131"/>
      <c r="NF51" s="131"/>
      <c r="NG51" s="131"/>
      <c r="NH51" s="131"/>
      <c r="NI51" s="131"/>
      <c r="NJ51" s="131"/>
      <c r="NK51" s="131"/>
      <c r="NL51" s="131"/>
      <c r="NM51" s="131"/>
      <c r="NN51" s="131"/>
      <c r="NO51" s="131"/>
      <c r="NP51" s="131"/>
      <c r="NQ51" s="131"/>
      <c r="NR51" s="131"/>
      <c r="NS51" s="131"/>
      <c r="NT51" s="131"/>
      <c r="NU51" s="131"/>
      <c r="NV51" s="131"/>
      <c r="NW51" s="131"/>
      <c r="NX51" s="131"/>
      <c r="NY51" s="131"/>
      <c r="NZ51" s="131"/>
      <c r="OA51" s="131"/>
      <c r="OB51" s="131"/>
      <c r="OC51" s="131"/>
      <c r="OD51" s="131"/>
      <c r="OE51" s="131"/>
      <c r="OF51" s="131"/>
      <c r="OG51" s="131"/>
      <c r="OH51" s="132"/>
    </row>
    <row r="52" spans="1:398" x14ac:dyDescent="0.35">
      <c r="A52" s="102"/>
      <c r="B52" s="168">
        <f t="shared" si="8"/>
        <v>24</v>
      </c>
      <c r="C52" s="171" t="s">
        <v>903</v>
      </c>
      <c r="D52" s="124" t="s">
        <v>751</v>
      </c>
      <c r="E52" s="124" t="s">
        <v>905</v>
      </c>
      <c r="F52" s="125" t="s">
        <v>906</v>
      </c>
      <c r="G52" s="125" t="s">
        <v>743</v>
      </c>
      <c r="H52" s="125"/>
      <c r="I52" s="129">
        <v>0</v>
      </c>
      <c r="J52" s="129">
        <v>0</v>
      </c>
      <c r="K52" s="129">
        <v>0</v>
      </c>
      <c r="L52" s="129">
        <v>0</v>
      </c>
      <c r="M52" s="129">
        <v>0</v>
      </c>
      <c r="N52" s="129">
        <v>0</v>
      </c>
      <c r="O52" s="130">
        <f t="shared" si="25"/>
        <v>0</v>
      </c>
      <c r="P52" s="129">
        <v>0</v>
      </c>
      <c r="Q52" s="129">
        <v>0</v>
      </c>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c r="BM52" s="131"/>
      <c r="BN52" s="131"/>
      <c r="BO52" s="131"/>
      <c r="BP52" s="131"/>
      <c r="BQ52" s="131"/>
      <c r="BR52" s="131"/>
      <c r="BS52" s="131"/>
      <c r="BT52" s="131"/>
      <c r="BU52" s="131"/>
      <c r="BV52" s="131"/>
      <c r="BW52" s="131"/>
      <c r="BX52" s="131"/>
      <c r="BY52" s="131"/>
      <c r="BZ52" s="131"/>
      <c r="CA52" s="131"/>
      <c r="CB52" s="131"/>
      <c r="CC52" s="131"/>
      <c r="CD52" s="131"/>
      <c r="CE52" s="131"/>
      <c r="CF52" s="131"/>
      <c r="CG52" s="131"/>
      <c r="CH52" s="131"/>
      <c r="CI52" s="131"/>
      <c r="CJ52" s="131"/>
      <c r="CK52" s="131"/>
      <c r="CL52" s="131"/>
      <c r="CM52" s="131"/>
      <c r="CN52" s="131"/>
      <c r="CO52" s="131"/>
      <c r="CP52" s="131"/>
      <c r="CQ52" s="131"/>
      <c r="CR52" s="131"/>
      <c r="CS52" s="131"/>
      <c r="CT52" s="131"/>
      <c r="CU52" s="131"/>
      <c r="CV52" s="131"/>
      <c r="CW52" s="131"/>
      <c r="CX52" s="131"/>
      <c r="CY52" s="131"/>
      <c r="CZ52" s="131"/>
      <c r="DA52" s="131"/>
      <c r="DB52" s="131"/>
      <c r="DC52" s="131"/>
      <c r="DD52" s="131"/>
      <c r="DE52" s="131"/>
      <c r="DF52" s="131"/>
      <c r="DG52" s="131"/>
      <c r="DH52" s="131"/>
      <c r="DI52" s="131"/>
      <c r="DJ52" s="131"/>
      <c r="DK52" s="131"/>
      <c r="DL52" s="131"/>
      <c r="DM52" s="131"/>
      <c r="DN52" s="131"/>
      <c r="DO52" s="131"/>
      <c r="DP52" s="131"/>
      <c r="DQ52" s="131"/>
      <c r="DR52" s="131"/>
      <c r="DS52" s="131"/>
      <c r="DT52" s="131"/>
      <c r="DU52" s="131"/>
      <c r="DV52" s="131"/>
      <c r="DW52" s="131"/>
      <c r="DX52" s="131"/>
      <c r="DY52" s="131"/>
      <c r="DZ52" s="131"/>
      <c r="EA52" s="131"/>
      <c r="EB52" s="131"/>
      <c r="EC52" s="131"/>
      <c r="ED52" s="131"/>
      <c r="EE52" s="131"/>
      <c r="EF52" s="131"/>
      <c r="EG52" s="131"/>
      <c r="EH52" s="131"/>
      <c r="EI52" s="131"/>
      <c r="EJ52" s="131"/>
      <c r="EK52" s="131"/>
      <c r="EL52" s="131"/>
      <c r="EM52" s="131"/>
      <c r="EN52" s="131"/>
      <c r="EO52" s="131"/>
      <c r="EP52" s="131"/>
      <c r="EQ52" s="131"/>
      <c r="ER52" s="131"/>
      <c r="ES52" s="131"/>
      <c r="ET52" s="131"/>
      <c r="EU52" s="131"/>
      <c r="EV52" s="131"/>
      <c r="EW52" s="131"/>
      <c r="EX52" s="131"/>
      <c r="EY52" s="131"/>
      <c r="EZ52" s="131"/>
      <c r="FA52" s="131"/>
      <c r="FB52" s="131"/>
      <c r="FC52" s="131"/>
      <c r="FD52" s="131"/>
      <c r="FE52" s="131"/>
      <c r="FF52" s="131"/>
      <c r="FG52" s="131"/>
      <c r="FH52" s="131"/>
      <c r="FI52" s="131"/>
      <c r="FJ52" s="131"/>
      <c r="FK52" s="131"/>
      <c r="FL52" s="131"/>
      <c r="FM52" s="131"/>
      <c r="FN52" s="131"/>
      <c r="FO52" s="131"/>
      <c r="FP52" s="131"/>
      <c r="FQ52" s="131"/>
      <c r="FR52" s="131"/>
      <c r="FS52" s="131"/>
      <c r="FT52" s="131"/>
      <c r="FU52" s="131"/>
      <c r="FV52" s="131"/>
      <c r="FW52" s="131"/>
      <c r="FX52" s="131"/>
      <c r="FY52" s="131"/>
      <c r="FZ52" s="131"/>
      <c r="GA52" s="131"/>
      <c r="GB52" s="131"/>
      <c r="GC52" s="131"/>
      <c r="GD52" s="131"/>
      <c r="GE52" s="131"/>
      <c r="GF52" s="131"/>
      <c r="GG52" s="131"/>
      <c r="GH52" s="131"/>
      <c r="GI52" s="131"/>
      <c r="GJ52" s="131"/>
      <c r="GK52" s="131"/>
      <c r="GL52" s="131"/>
      <c r="GM52" s="131"/>
      <c r="GN52" s="131"/>
      <c r="GO52" s="131"/>
      <c r="GP52" s="131"/>
      <c r="GQ52" s="131"/>
      <c r="GR52" s="131"/>
      <c r="GS52" s="131"/>
      <c r="GT52" s="131"/>
      <c r="GU52" s="131"/>
      <c r="GV52" s="131"/>
      <c r="GW52" s="131"/>
      <c r="GX52" s="131"/>
      <c r="GY52" s="131"/>
      <c r="GZ52" s="131"/>
      <c r="HA52" s="131"/>
      <c r="HB52" s="131"/>
      <c r="HC52" s="131"/>
      <c r="HD52" s="131"/>
      <c r="HE52" s="131"/>
      <c r="HF52" s="131"/>
      <c r="HG52" s="131"/>
      <c r="HH52" s="131"/>
      <c r="HI52" s="131"/>
      <c r="HJ52" s="131"/>
      <c r="HK52" s="131"/>
      <c r="HL52" s="131"/>
      <c r="HM52" s="131"/>
      <c r="HN52" s="131"/>
      <c r="HO52" s="131"/>
      <c r="HP52" s="131"/>
      <c r="HQ52" s="131"/>
      <c r="HR52" s="131"/>
      <c r="HS52" s="131"/>
      <c r="HT52" s="131"/>
      <c r="HU52" s="131"/>
      <c r="HV52" s="131"/>
      <c r="HW52" s="131"/>
      <c r="HX52" s="131"/>
      <c r="HY52" s="131"/>
      <c r="HZ52" s="131"/>
      <c r="IA52" s="131"/>
      <c r="IB52" s="131"/>
      <c r="IC52" s="131"/>
      <c r="ID52" s="131"/>
      <c r="IE52" s="131"/>
      <c r="IF52" s="131"/>
      <c r="IG52" s="131"/>
      <c r="IH52" s="131"/>
      <c r="II52" s="131"/>
      <c r="IJ52" s="131"/>
      <c r="IK52" s="131"/>
      <c r="IL52" s="131"/>
      <c r="IM52" s="131"/>
      <c r="IN52" s="131"/>
      <c r="IO52" s="131"/>
      <c r="IP52" s="131"/>
      <c r="IQ52" s="131"/>
      <c r="IR52" s="131"/>
      <c r="IS52" s="131"/>
      <c r="IT52" s="131"/>
      <c r="IU52" s="131"/>
      <c r="IV52" s="131"/>
      <c r="IW52" s="131"/>
      <c r="IX52" s="131"/>
      <c r="IY52" s="131"/>
      <c r="IZ52" s="131"/>
      <c r="JA52" s="131"/>
      <c r="JB52" s="131"/>
      <c r="JC52" s="131"/>
      <c r="JD52" s="131"/>
      <c r="JE52" s="131"/>
      <c r="JF52" s="131"/>
      <c r="JG52" s="131"/>
      <c r="JH52" s="131"/>
      <c r="JI52" s="131"/>
      <c r="JJ52" s="131"/>
      <c r="JK52" s="131"/>
      <c r="JL52" s="131"/>
      <c r="JM52" s="131"/>
      <c r="JN52" s="131"/>
      <c r="JO52" s="131"/>
      <c r="JP52" s="131"/>
      <c r="JQ52" s="131"/>
      <c r="JR52" s="131"/>
      <c r="JS52" s="131"/>
      <c r="JT52" s="131"/>
      <c r="JU52" s="131"/>
      <c r="JV52" s="131"/>
      <c r="JW52" s="131"/>
      <c r="JX52" s="131"/>
      <c r="JY52" s="131"/>
      <c r="JZ52" s="131"/>
      <c r="KA52" s="131"/>
      <c r="KB52" s="131"/>
      <c r="KC52" s="131"/>
      <c r="KD52" s="131"/>
      <c r="KE52" s="131"/>
      <c r="KF52" s="131"/>
      <c r="KG52" s="131"/>
      <c r="KH52" s="131"/>
      <c r="KI52" s="131"/>
      <c r="KJ52" s="131"/>
      <c r="KK52" s="131"/>
      <c r="KL52" s="131"/>
      <c r="KM52" s="131"/>
      <c r="KN52" s="131"/>
      <c r="KO52" s="131"/>
      <c r="KP52" s="131"/>
      <c r="KQ52" s="131"/>
      <c r="KR52" s="131"/>
      <c r="KS52" s="131"/>
      <c r="KT52" s="131"/>
      <c r="KU52" s="131"/>
      <c r="KV52" s="131"/>
      <c r="KW52" s="131"/>
      <c r="KX52" s="131"/>
      <c r="KY52" s="131"/>
      <c r="KZ52" s="131"/>
      <c r="LA52" s="131"/>
      <c r="LB52" s="131"/>
      <c r="LC52" s="131"/>
      <c r="LD52" s="131"/>
      <c r="LE52" s="131"/>
      <c r="LF52" s="131"/>
      <c r="LG52" s="131"/>
      <c r="LH52" s="131"/>
      <c r="LI52" s="131"/>
      <c r="LJ52" s="131"/>
      <c r="LK52" s="131"/>
      <c r="LL52" s="131"/>
      <c r="LM52" s="131"/>
      <c r="LN52" s="131"/>
      <c r="LO52" s="131"/>
      <c r="LP52" s="131"/>
      <c r="LQ52" s="131"/>
      <c r="LR52" s="131"/>
      <c r="LS52" s="131"/>
      <c r="LT52" s="131"/>
      <c r="LU52" s="131"/>
      <c r="LV52" s="131"/>
      <c r="LW52" s="131"/>
      <c r="LX52" s="131"/>
      <c r="LY52" s="131"/>
      <c r="LZ52" s="131"/>
      <c r="MA52" s="131"/>
      <c r="MB52" s="131"/>
      <c r="MC52" s="131"/>
      <c r="MD52" s="131"/>
      <c r="ME52" s="131"/>
      <c r="MF52" s="131"/>
      <c r="MG52" s="131"/>
      <c r="MH52" s="131"/>
      <c r="MI52" s="131"/>
      <c r="MJ52" s="131"/>
      <c r="MK52" s="131"/>
      <c r="ML52" s="131"/>
      <c r="MM52" s="131"/>
      <c r="MN52" s="131"/>
      <c r="MO52" s="131"/>
      <c r="MP52" s="131"/>
      <c r="MQ52" s="131"/>
      <c r="MR52" s="131"/>
      <c r="MS52" s="131"/>
      <c r="MT52" s="131"/>
      <c r="MU52" s="131"/>
      <c r="MV52" s="131"/>
      <c r="MW52" s="131"/>
      <c r="MX52" s="131"/>
      <c r="MY52" s="131"/>
      <c r="MZ52" s="131"/>
      <c r="NA52" s="131"/>
      <c r="NB52" s="131"/>
      <c r="NC52" s="131"/>
      <c r="ND52" s="131"/>
      <c r="NE52" s="131"/>
      <c r="NF52" s="131"/>
      <c r="NG52" s="131"/>
      <c r="NH52" s="131"/>
      <c r="NI52" s="131"/>
      <c r="NJ52" s="131"/>
      <c r="NK52" s="131"/>
      <c r="NL52" s="131"/>
      <c r="NM52" s="131"/>
      <c r="NN52" s="131"/>
      <c r="NO52" s="131"/>
      <c r="NP52" s="131"/>
      <c r="NQ52" s="131"/>
      <c r="NR52" s="131"/>
      <c r="NS52" s="131"/>
      <c r="NT52" s="131"/>
      <c r="NU52" s="131"/>
      <c r="NV52" s="131"/>
      <c r="NW52" s="131"/>
      <c r="NX52" s="131"/>
      <c r="NY52" s="131"/>
      <c r="NZ52" s="131"/>
      <c r="OA52" s="131"/>
      <c r="OB52" s="131"/>
      <c r="OC52" s="131"/>
      <c r="OD52" s="131"/>
      <c r="OE52" s="131"/>
      <c r="OF52" s="131"/>
      <c r="OG52" s="131"/>
      <c r="OH52" s="132"/>
    </row>
    <row r="53" spans="1:398" x14ac:dyDescent="0.35">
      <c r="A53" s="102"/>
      <c r="B53" s="168">
        <f t="shared" si="8"/>
        <v>25</v>
      </c>
      <c r="C53" s="171" t="s">
        <v>903</v>
      </c>
      <c r="D53" s="124" t="s">
        <v>751</v>
      </c>
      <c r="E53" s="124" t="s">
        <v>905</v>
      </c>
      <c r="F53" s="125" t="s">
        <v>906</v>
      </c>
      <c r="G53" s="125" t="s">
        <v>202</v>
      </c>
      <c r="H53" s="125"/>
      <c r="I53" s="129">
        <v>0</v>
      </c>
      <c r="J53" s="129">
        <v>0</v>
      </c>
      <c r="K53" s="129">
        <v>0</v>
      </c>
      <c r="L53" s="129">
        <v>0</v>
      </c>
      <c r="M53" s="129">
        <v>0</v>
      </c>
      <c r="N53" s="129">
        <v>0</v>
      </c>
      <c r="O53" s="130">
        <f t="shared" si="25"/>
        <v>0</v>
      </c>
      <c r="P53" s="129">
        <v>0</v>
      </c>
      <c r="Q53" s="129">
        <v>0</v>
      </c>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c r="BP53" s="131"/>
      <c r="BQ53" s="131"/>
      <c r="BR53" s="131"/>
      <c r="BS53" s="131"/>
      <c r="BT53" s="131"/>
      <c r="BU53" s="131"/>
      <c r="BV53" s="131"/>
      <c r="BW53" s="131"/>
      <c r="BX53" s="131"/>
      <c r="BY53" s="131"/>
      <c r="BZ53" s="131"/>
      <c r="CA53" s="131"/>
      <c r="CB53" s="131"/>
      <c r="CC53" s="131"/>
      <c r="CD53" s="131"/>
      <c r="CE53" s="131"/>
      <c r="CF53" s="131"/>
      <c r="CG53" s="131"/>
      <c r="CH53" s="131"/>
      <c r="CI53" s="131"/>
      <c r="CJ53" s="131"/>
      <c r="CK53" s="131"/>
      <c r="CL53" s="131"/>
      <c r="CM53" s="131"/>
      <c r="CN53" s="131"/>
      <c r="CO53" s="131"/>
      <c r="CP53" s="131"/>
      <c r="CQ53" s="131"/>
      <c r="CR53" s="131"/>
      <c r="CS53" s="131"/>
      <c r="CT53" s="131"/>
      <c r="CU53" s="131"/>
      <c r="CV53" s="131"/>
      <c r="CW53" s="131"/>
      <c r="CX53" s="131"/>
      <c r="CY53" s="131"/>
      <c r="CZ53" s="131"/>
      <c r="DA53" s="131"/>
      <c r="DB53" s="131"/>
      <c r="DC53" s="131"/>
      <c r="DD53" s="131"/>
      <c r="DE53" s="131"/>
      <c r="DF53" s="131"/>
      <c r="DG53" s="131"/>
      <c r="DH53" s="131"/>
      <c r="DI53" s="131"/>
      <c r="DJ53" s="131"/>
      <c r="DK53" s="131"/>
      <c r="DL53" s="131"/>
      <c r="DM53" s="131"/>
      <c r="DN53" s="131"/>
      <c r="DO53" s="131"/>
      <c r="DP53" s="131"/>
      <c r="DQ53" s="131"/>
      <c r="DR53" s="131"/>
      <c r="DS53" s="131"/>
      <c r="DT53" s="131"/>
      <c r="DU53" s="131"/>
      <c r="DV53" s="131"/>
      <c r="DW53" s="131"/>
      <c r="DX53" s="131"/>
      <c r="DY53" s="131"/>
      <c r="DZ53" s="131"/>
      <c r="EA53" s="131"/>
      <c r="EB53" s="131"/>
      <c r="EC53" s="131"/>
      <c r="ED53" s="131"/>
      <c r="EE53" s="131"/>
      <c r="EF53" s="131"/>
      <c r="EG53" s="131"/>
      <c r="EH53" s="131"/>
      <c r="EI53" s="131"/>
      <c r="EJ53" s="131"/>
      <c r="EK53" s="131"/>
      <c r="EL53" s="131"/>
      <c r="EM53" s="131"/>
      <c r="EN53" s="131"/>
      <c r="EO53" s="131"/>
      <c r="EP53" s="131"/>
      <c r="EQ53" s="131"/>
      <c r="ER53" s="131"/>
      <c r="ES53" s="131"/>
      <c r="ET53" s="131"/>
      <c r="EU53" s="131"/>
      <c r="EV53" s="131"/>
      <c r="EW53" s="131"/>
      <c r="EX53" s="131"/>
      <c r="EY53" s="131"/>
      <c r="EZ53" s="131"/>
      <c r="FA53" s="131"/>
      <c r="FB53" s="131"/>
      <c r="FC53" s="131"/>
      <c r="FD53" s="131"/>
      <c r="FE53" s="131"/>
      <c r="FF53" s="131"/>
      <c r="FG53" s="131"/>
      <c r="FH53" s="131"/>
      <c r="FI53" s="131"/>
      <c r="FJ53" s="131"/>
      <c r="FK53" s="131"/>
      <c r="FL53" s="131"/>
      <c r="FM53" s="131"/>
      <c r="FN53" s="131"/>
      <c r="FO53" s="131"/>
      <c r="FP53" s="131"/>
      <c r="FQ53" s="131"/>
      <c r="FR53" s="131"/>
      <c r="FS53" s="131"/>
      <c r="FT53" s="131"/>
      <c r="FU53" s="131"/>
      <c r="FV53" s="131"/>
      <c r="FW53" s="131"/>
      <c r="FX53" s="131"/>
      <c r="FY53" s="131"/>
      <c r="FZ53" s="131"/>
      <c r="GA53" s="131"/>
      <c r="GB53" s="131"/>
      <c r="GC53" s="131"/>
      <c r="GD53" s="131"/>
      <c r="GE53" s="131"/>
      <c r="GF53" s="131"/>
      <c r="GG53" s="131"/>
      <c r="GH53" s="131"/>
      <c r="GI53" s="131"/>
      <c r="GJ53" s="131"/>
      <c r="GK53" s="131"/>
      <c r="GL53" s="131"/>
      <c r="GM53" s="131"/>
      <c r="GN53" s="131"/>
      <c r="GO53" s="131"/>
      <c r="GP53" s="131"/>
      <c r="GQ53" s="131"/>
      <c r="GR53" s="131"/>
      <c r="GS53" s="131"/>
      <c r="GT53" s="131"/>
      <c r="GU53" s="131"/>
      <c r="GV53" s="131"/>
      <c r="GW53" s="131"/>
      <c r="GX53" s="131"/>
      <c r="GY53" s="131"/>
      <c r="GZ53" s="131"/>
      <c r="HA53" s="131"/>
      <c r="HB53" s="131"/>
      <c r="HC53" s="131"/>
      <c r="HD53" s="131"/>
      <c r="HE53" s="131"/>
      <c r="HF53" s="131"/>
      <c r="HG53" s="131"/>
      <c r="HH53" s="131"/>
      <c r="HI53" s="131"/>
      <c r="HJ53" s="131"/>
      <c r="HK53" s="131"/>
      <c r="HL53" s="131"/>
      <c r="HM53" s="131"/>
      <c r="HN53" s="131"/>
      <c r="HO53" s="131"/>
      <c r="HP53" s="131"/>
      <c r="HQ53" s="131"/>
      <c r="HR53" s="131"/>
      <c r="HS53" s="131"/>
      <c r="HT53" s="131"/>
      <c r="HU53" s="131"/>
      <c r="HV53" s="131"/>
      <c r="HW53" s="131"/>
      <c r="HX53" s="131"/>
      <c r="HY53" s="131"/>
      <c r="HZ53" s="131"/>
      <c r="IA53" s="131"/>
      <c r="IB53" s="131"/>
      <c r="IC53" s="131"/>
      <c r="ID53" s="131"/>
      <c r="IE53" s="131"/>
      <c r="IF53" s="131"/>
      <c r="IG53" s="131"/>
      <c r="IH53" s="131"/>
      <c r="II53" s="131"/>
      <c r="IJ53" s="131"/>
      <c r="IK53" s="131"/>
      <c r="IL53" s="131"/>
      <c r="IM53" s="131"/>
      <c r="IN53" s="131"/>
      <c r="IO53" s="131"/>
      <c r="IP53" s="131"/>
      <c r="IQ53" s="131"/>
      <c r="IR53" s="131"/>
      <c r="IS53" s="131"/>
      <c r="IT53" s="131"/>
      <c r="IU53" s="131"/>
      <c r="IV53" s="131"/>
      <c r="IW53" s="131"/>
      <c r="IX53" s="131"/>
      <c r="IY53" s="131"/>
      <c r="IZ53" s="131"/>
      <c r="JA53" s="131"/>
      <c r="JB53" s="131"/>
      <c r="JC53" s="131"/>
      <c r="JD53" s="131"/>
      <c r="JE53" s="131"/>
      <c r="JF53" s="131"/>
      <c r="JG53" s="131"/>
      <c r="JH53" s="131"/>
      <c r="JI53" s="131"/>
      <c r="JJ53" s="131"/>
      <c r="JK53" s="131"/>
      <c r="JL53" s="131"/>
      <c r="JM53" s="131"/>
      <c r="JN53" s="131"/>
      <c r="JO53" s="131"/>
      <c r="JP53" s="131"/>
      <c r="JQ53" s="131"/>
      <c r="JR53" s="131"/>
      <c r="JS53" s="131"/>
      <c r="JT53" s="131"/>
      <c r="JU53" s="131"/>
      <c r="JV53" s="131"/>
      <c r="JW53" s="131"/>
      <c r="JX53" s="131"/>
      <c r="JY53" s="131"/>
      <c r="JZ53" s="131"/>
      <c r="KA53" s="131"/>
      <c r="KB53" s="131"/>
      <c r="KC53" s="131"/>
      <c r="KD53" s="131"/>
      <c r="KE53" s="131"/>
      <c r="KF53" s="131"/>
      <c r="KG53" s="131"/>
      <c r="KH53" s="131"/>
      <c r="KI53" s="131"/>
      <c r="KJ53" s="131"/>
      <c r="KK53" s="131"/>
      <c r="KL53" s="131"/>
      <c r="KM53" s="131"/>
      <c r="KN53" s="131"/>
      <c r="KO53" s="131"/>
      <c r="KP53" s="131"/>
      <c r="KQ53" s="131"/>
      <c r="KR53" s="131"/>
      <c r="KS53" s="131"/>
      <c r="KT53" s="131"/>
      <c r="KU53" s="131"/>
      <c r="KV53" s="131"/>
      <c r="KW53" s="131"/>
      <c r="KX53" s="131"/>
      <c r="KY53" s="131"/>
      <c r="KZ53" s="131"/>
      <c r="LA53" s="131"/>
      <c r="LB53" s="131"/>
      <c r="LC53" s="131"/>
      <c r="LD53" s="131"/>
      <c r="LE53" s="131"/>
      <c r="LF53" s="131"/>
      <c r="LG53" s="131"/>
      <c r="LH53" s="131"/>
      <c r="LI53" s="131"/>
      <c r="LJ53" s="131"/>
      <c r="LK53" s="131"/>
      <c r="LL53" s="131"/>
      <c r="LM53" s="131"/>
      <c r="LN53" s="131"/>
      <c r="LO53" s="131"/>
      <c r="LP53" s="131"/>
      <c r="LQ53" s="131"/>
      <c r="LR53" s="131"/>
      <c r="LS53" s="131"/>
      <c r="LT53" s="131"/>
      <c r="LU53" s="131"/>
      <c r="LV53" s="131"/>
      <c r="LW53" s="131"/>
      <c r="LX53" s="131"/>
      <c r="LY53" s="131"/>
      <c r="LZ53" s="131"/>
      <c r="MA53" s="131"/>
      <c r="MB53" s="131"/>
      <c r="MC53" s="131"/>
      <c r="MD53" s="131"/>
      <c r="ME53" s="131"/>
      <c r="MF53" s="131"/>
      <c r="MG53" s="131"/>
      <c r="MH53" s="131"/>
      <c r="MI53" s="131"/>
      <c r="MJ53" s="131"/>
      <c r="MK53" s="131"/>
      <c r="ML53" s="131"/>
      <c r="MM53" s="131"/>
      <c r="MN53" s="131"/>
      <c r="MO53" s="131"/>
      <c r="MP53" s="131"/>
      <c r="MQ53" s="131"/>
      <c r="MR53" s="131"/>
      <c r="MS53" s="131"/>
      <c r="MT53" s="131"/>
      <c r="MU53" s="131"/>
      <c r="MV53" s="131"/>
      <c r="MW53" s="131"/>
      <c r="MX53" s="131"/>
      <c r="MY53" s="131"/>
      <c r="MZ53" s="131"/>
      <c r="NA53" s="131"/>
      <c r="NB53" s="131"/>
      <c r="NC53" s="131"/>
      <c r="ND53" s="131"/>
      <c r="NE53" s="131"/>
      <c r="NF53" s="131"/>
      <c r="NG53" s="131"/>
      <c r="NH53" s="131"/>
      <c r="NI53" s="131"/>
      <c r="NJ53" s="131"/>
      <c r="NK53" s="131"/>
      <c r="NL53" s="131"/>
      <c r="NM53" s="131"/>
      <c r="NN53" s="131"/>
      <c r="NO53" s="131"/>
      <c r="NP53" s="131"/>
      <c r="NQ53" s="131"/>
      <c r="NR53" s="131"/>
      <c r="NS53" s="131"/>
      <c r="NT53" s="131"/>
      <c r="NU53" s="131"/>
      <c r="NV53" s="131"/>
      <c r="NW53" s="131"/>
      <c r="NX53" s="131"/>
      <c r="NY53" s="131"/>
      <c r="NZ53" s="131"/>
      <c r="OA53" s="131"/>
      <c r="OB53" s="131"/>
      <c r="OC53" s="131"/>
      <c r="OD53" s="131"/>
      <c r="OE53" s="131"/>
      <c r="OF53" s="131"/>
      <c r="OG53" s="131"/>
      <c r="OH53" s="132"/>
    </row>
    <row r="54" spans="1:398" x14ac:dyDescent="0.35">
      <c r="A54" s="102"/>
      <c r="B54" s="168">
        <f t="shared" si="8"/>
        <v>26</v>
      </c>
      <c r="C54" s="171" t="s">
        <v>903</v>
      </c>
      <c r="D54" s="124" t="s">
        <v>751</v>
      </c>
      <c r="E54" s="124" t="s">
        <v>905</v>
      </c>
      <c r="F54" s="125" t="s">
        <v>906</v>
      </c>
      <c r="G54" s="125" t="s">
        <v>738</v>
      </c>
      <c r="H54" s="125"/>
      <c r="I54" s="130">
        <f t="shared" ref="I54:Q54" si="26">SUM(I48:I53)</f>
        <v>0</v>
      </c>
      <c r="J54" s="130">
        <f t="shared" si="26"/>
        <v>0</v>
      </c>
      <c r="K54" s="130">
        <f t="shared" si="26"/>
        <v>0</v>
      </c>
      <c r="L54" s="130">
        <f t="shared" si="26"/>
        <v>0</v>
      </c>
      <c r="M54" s="130">
        <f t="shared" si="26"/>
        <v>0</v>
      </c>
      <c r="N54" s="130">
        <f t="shared" si="26"/>
        <v>0</v>
      </c>
      <c r="O54" s="130">
        <f t="shared" si="26"/>
        <v>0</v>
      </c>
      <c r="P54" s="130">
        <f t="shared" si="26"/>
        <v>0</v>
      </c>
      <c r="Q54" s="130">
        <f t="shared" si="26"/>
        <v>0</v>
      </c>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131"/>
      <c r="CA54" s="131"/>
      <c r="CB54" s="131"/>
      <c r="CC54" s="131"/>
      <c r="CD54" s="131"/>
      <c r="CE54" s="131"/>
      <c r="CF54" s="131"/>
      <c r="CG54" s="131"/>
      <c r="CH54" s="131"/>
      <c r="CI54" s="131"/>
      <c r="CJ54" s="131"/>
      <c r="CK54" s="131"/>
      <c r="CL54" s="131"/>
      <c r="CM54" s="131"/>
      <c r="CN54" s="131"/>
      <c r="CO54" s="131"/>
      <c r="CP54" s="131"/>
      <c r="CQ54" s="131"/>
      <c r="CR54" s="131"/>
      <c r="CS54" s="131"/>
      <c r="CT54" s="131"/>
      <c r="CU54" s="131"/>
      <c r="CV54" s="131"/>
      <c r="CW54" s="131"/>
      <c r="CX54" s="131"/>
      <c r="CY54" s="131"/>
      <c r="CZ54" s="131"/>
      <c r="DA54" s="131"/>
      <c r="DB54" s="131"/>
      <c r="DC54" s="131"/>
      <c r="DD54" s="131"/>
      <c r="DE54" s="131"/>
      <c r="DF54" s="131"/>
      <c r="DG54" s="131"/>
      <c r="DH54" s="131"/>
      <c r="DI54" s="131"/>
      <c r="DJ54" s="131"/>
      <c r="DK54" s="131"/>
      <c r="DL54" s="131"/>
      <c r="DM54" s="131"/>
      <c r="DN54" s="131"/>
      <c r="DO54" s="131"/>
      <c r="DP54" s="131"/>
      <c r="DQ54" s="131"/>
      <c r="DR54" s="131"/>
      <c r="DS54" s="131"/>
      <c r="DT54" s="131"/>
      <c r="DU54" s="131"/>
      <c r="DV54" s="131"/>
      <c r="DW54" s="131"/>
      <c r="DX54" s="131"/>
      <c r="DY54" s="131"/>
      <c r="DZ54" s="131"/>
      <c r="EA54" s="131"/>
      <c r="EB54" s="131"/>
      <c r="EC54" s="131"/>
      <c r="ED54" s="131"/>
      <c r="EE54" s="131"/>
      <c r="EF54" s="131"/>
      <c r="EG54" s="131"/>
      <c r="EH54" s="131"/>
      <c r="EI54" s="131"/>
      <c r="EJ54" s="131"/>
      <c r="EK54" s="131"/>
      <c r="EL54" s="131"/>
      <c r="EM54" s="131"/>
      <c r="EN54" s="131"/>
      <c r="EO54" s="131"/>
      <c r="EP54" s="131"/>
      <c r="EQ54" s="131"/>
      <c r="ER54" s="131"/>
      <c r="ES54" s="131"/>
      <c r="ET54" s="131"/>
      <c r="EU54" s="131"/>
      <c r="EV54" s="131"/>
      <c r="EW54" s="131"/>
      <c r="EX54" s="131"/>
      <c r="EY54" s="131"/>
      <c r="EZ54" s="131"/>
      <c r="FA54" s="131"/>
      <c r="FB54" s="131"/>
      <c r="FC54" s="131"/>
      <c r="FD54" s="131"/>
      <c r="FE54" s="131"/>
      <c r="FF54" s="131"/>
      <c r="FG54" s="131"/>
      <c r="FH54" s="131"/>
      <c r="FI54" s="131"/>
      <c r="FJ54" s="131"/>
      <c r="FK54" s="131"/>
      <c r="FL54" s="131"/>
      <c r="FM54" s="131"/>
      <c r="FN54" s="131"/>
      <c r="FO54" s="131"/>
      <c r="FP54" s="131"/>
      <c r="FQ54" s="131"/>
      <c r="FR54" s="131"/>
      <c r="FS54" s="131"/>
      <c r="FT54" s="131"/>
      <c r="FU54" s="131"/>
      <c r="FV54" s="131"/>
      <c r="FW54" s="131"/>
      <c r="FX54" s="131"/>
      <c r="FY54" s="131"/>
      <c r="FZ54" s="131"/>
      <c r="GA54" s="131"/>
      <c r="GB54" s="131"/>
      <c r="GC54" s="131"/>
      <c r="GD54" s="131"/>
      <c r="GE54" s="131"/>
      <c r="GF54" s="131"/>
      <c r="GG54" s="131"/>
      <c r="GH54" s="131"/>
      <c r="GI54" s="131"/>
      <c r="GJ54" s="131"/>
      <c r="GK54" s="131"/>
      <c r="GL54" s="131"/>
      <c r="GM54" s="131"/>
      <c r="GN54" s="131"/>
      <c r="GO54" s="131"/>
      <c r="GP54" s="131"/>
      <c r="GQ54" s="131"/>
      <c r="GR54" s="131"/>
      <c r="GS54" s="131"/>
      <c r="GT54" s="131"/>
      <c r="GU54" s="131"/>
      <c r="GV54" s="131"/>
      <c r="GW54" s="131"/>
      <c r="GX54" s="131"/>
      <c r="GY54" s="131"/>
      <c r="GZ54" s="131"/>
      <c r="HA54" s="131"/>
      <c r="HB54" s="131"/>
      <c r="HC54" s="131"/>
      <c r="HD54" s="131"/>
      <c r="HE54" s="131"/>
      <c r="HF54" s="131"/>
      <c r="HG54" s="131"/>
      <c r="HH54" s="131"/>
      <c r="HI54" s="131"/>
      <c r="HJ54" s="131"/>
      <c r="HK54" s="131"/>
      <c r="HL54" s="131"/>
      <c r="HM54" s="131"/>
      <c r="HN54" s="131"/>
      <c r="HO54" s="131"/>
      <c r="HP54" s="131"/>
      <c r="HQ54" s="131"/>
      <c r="HR54" s="131"/>
      <c r="HS54" s="131"/>
      <c r="HT54" s="131"/>
      <c r="HU54" s="131"/>
      <c r="HV54" s="131"/>
      <c r="HW54" s="131"/>
      <c r="HX54" s="131"/>
      <c r="HY54" s="131"/>
      <c r="HZ54" s="131"/>
      <c r="IA54" s="131"/>
      <c r="IB54" s="131"/>
      <c r="IC54" s="131"/>
      <c r="ID54" s="131"/>
      <c r="IE54" s="131"/>
      <c r="IF54" s="131"/>
      <c r="IG54" s="131"/>
      <c r="IH54" s="131"/>
      <c r="II54" s="131"/>
      <c r="IJ54" s="131"/>
      <c r="IK54" s="131"/>
      <c r="IL54" s="131"/>
      <c r="IM54" s="131"/>
      <c r="IN54" s="131"/>
      <c r="IO54" s="131"/>
      <c r="IP54" s="131"/>
      <c r="IQ54" s="131"/>
      <c r="IR54" s="131"/>
      <c r="IS54" s="131"/>
      <c r="IT54" s="131"/>
      <c r="IU54" s="131"/>
      <c r="IV54" s="131"/>
      <c r="IW54" s="131"/>
      <c r="IX54" s="131"/>
      <c r="IY54" s="131"/>
      <c r="IZ54" s="131"/>
      <c r="JA54" s="131"/>
      <c r="JB54" s="131"/>
      <c r="JC54" s="131"/>
      <c r="JD54" s="131"/>
      <c r="JE54" s="131"/>
      <c r="JF54" s="131"/>
      <c r="JG54" s="131"/>
      <c r="JH54" s="131"/>
      <c r="JI54" s="131"/>
      <c r="JJ54" s="131"/>
      <c r="JK54" s="131"/>
      <c r="JL54" s="131"/>
      <c r="JM54" s="131"/>
      <c r="JN54" s="131"/>
      <c r="JO54" s="131"/>
      <c r="JP54" s="131"/>
      <c r="JQ54" s="131"/>
      <c r="JR54" s="131"/>
      <c r="JS54" s="131"/>
      <c r="JT54" s="131"/>
      <c r="JU54" s="131"/>
      <c r="JV54" s="131"/>
      <c r="JW54" s="131"/>
      <c r="JX54" s="131"/>
      <c r="JY54" s="131"/>
      <c r="JZ54" s="131"/>
      <c r="KA54" s="131"/>
      <c r="KB54" s="131"/>
      <c r="KC54" s="131"/>
      <c r="KD54" s="131"/>
      <c r="KE54" s="131"/>
      <c r="KF54" s="131"/>
      <c r="KG54" s="131"/>
      <c r="KH54" s="131"/>
      <c r="KI54" s="131"/>
      <c r="KJ54" s="131"/>
      <c r="KK54" s="131"/>
      <c r="KL54" s="131"/>
      <c r="KM54" s="131"/>
      <c r="KN54" s="131"/>
      <c r="KO54" s="131"/>
      <c r="KP54" s="131"/>
      <c r="KQ54" s="131"/>
      <c r="KR54" s="131"/>
      <c r="KS54" s="131"/>
      <c r="KT54" s="131"/>
      <c r="KU54" s="131"/>
      <c r="KV54" s="131"/>
      <c r="KW54" s="131"/>
      <c r="KX54" s="131"/>
      <c r="KY54" s="131"/>
      <c r="KZ54" s="131"/>
      <c r="LA54" s="131"/>
      <c r="LB54" s="131"/>
      <c r="LC54" s="131"/>
      <c r="LD54" s="131"/>
      <c r="LE54" s="131"/>
      <c r="LF54" s="131"/>
      <c r="LG54" s="131"/>
      <c r="LH54" s="131"/>
      <c r="LI54" s="131"/>
      <c r="LJ54" s="131"/>
      <c r="LK54" s="131"/>
      <c r="LL54" s="131"/>
      <c r="LM54" s="131"/>
      <c r="LN54" s="131"/>
      <c r="LO54" s="131"/>
      <c r="LP54" s="131"/>
      <c r="LQ54" s="131"/>
      <c r="LR54" s="131"/>
      <c r="LS54" s="131"/>
      <c r="LT54" s="131"/>
      <c r="LU54" s="131"/>
      <c r="LV54" s="131"/>
      <c r="LW54" s="131"/>
      <c r="LX54" s="131"/>
      <c r="LY54" s="131"/>
      <c r="LZ54" s="131"/>
      <c r="MA54" s="131"/>
      <c r="MB54" s="131"/>
      <c r="MC54" s="131"/>
      <c r="MD54" s="131"/>
      <c r="ME54" s="131"/>
      <c r="MF54" s="131"/>
      <c r="MG54" s="131"/>
      <c r="MH54" s="131"/>
      <c r="MI54" s="131"/>
      <c r="MJ54" s="131"/>
      <c r="MK54" s="131"/>
      <c r="ML54" s="131"/>
      <c r="MM54" s="131"/>
      <c r="MN54" s="131"/>
      <c r="MO54" s="131"/>
      <c r="MP54" s="131"/>
      <c r="MQ54" s="131"/>
      <c r="MR54" s="131"/>
      <c r="MS54" s="131"/>
      <c r="MT54" s="131"/>
      <c r="MU54" s="131"/>
      <c r="MV54" s="131"/>
      <c r="MW54" s="131"/>
      <c r="MX54" s="131"/>
      <c r="MY54" s="131"/>
      <c r="MZ54" s="131"/>
      <c r="NA54" s="131"/>
      <c r="NB54" s="131"/>
      <c r="NC54" s="131"/>
      <c r="ND54" s="131"/>
      <c r="NE54" s="131"/>
      <c r="NF54" s="131"/>
      <c r="NG54" s="131"/>
      <c r="NH54" s="131"/>
      <c r="NI54" s="131"/>
      <c r="NJ54" s="131"/>
      <c r="NK54" s="131"/>
      <c r="NL54" s="131"/>
      <c r="NM54" s="131"/>
      <c r="NN54" s="131"/>
      <c r="NO54" s="131"/>
      <c r="NP54" s="131"/>
      <c r="NQ54" s="131"/>
      <c r="NR54" s="131"/>
      <c r="NS54" s="131"/>
      <c r="NT54" s="131"/>
      <c r="NU54" s="131"/>
      <c r="NV54" s="131"/>
      <c r="NW54" s="131"/>
      <c r="NX54" s="131"/>
      <c r="NY54" s="131"/>
      <c r="NZ54" s="131"/>
      <c r="OA54" s="131"/>
      <c r="OB54" s="131"/>
      <c r="OC54" s="131"/>
      <c r="OD54" s="131"/>
      <c r="OE54" s="131"/>
      <c r="OF54" s="131"/>
      <c r="OG54" s="131"/>
      <c r="OH54" s="132"/>
    </row>
    <row r="55" spans="1:398" x14ac:dyDescent="0.35">
      <c r="A55" s="102"/>
      <c r="B55" s="168">
        <f t="shared" si="8"/>
        <v>27</v>
      </c>
      <c r="C55" s="171" t="s">
        <v>903</v>
      </c>
      <c r="D55" s="124" t="s">
        <v>751</v>
      </c>
      <c r="E55" s="124" t="s">
        <v>905</v>
      </c>
      <c r="F55" s="125" t="s">
        <v>907</v>
      </c>
      <c r="G55" s="125" t="s">
        <v>739</v>
      </c>
      <c r="H55" s="125"/>
      <c r="I55" s="129">
        <v>0</v>
      </c>
      <c r="J55" s="129">
        <v>0</v>
      </c>
      <c r="K55" s="129">
        <v>0</v>
      </c>
      <c r="L55" s="129">
        <v>0</v>
      </c>
      <c r="M55" s="129">
        <v>0</v>
      </c>
      <c r="N55" s="129">
        <v>0</v>
      </c>
      <c r="O55" s="130">
        <f t="shared" ref="O55:O60" si="27">SUM(P55,R55)</f>
        <v>0</v>
      </c>
      <c r="P55" s="129">
        <v>0</v>
      </c>
      <c r="Q55" s="129">
        <v>0</v>
      </c>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c r="BO55" s="131"/>
      <c r="BP55" s="131"/>
      <c r="BQ55" s="131"/>
      <c r="BR55" s="131"/>
      <c r="BS55" s="131"/>
      <c r="BT55" s="131"/>
      <c r="BU55" s="131"/>
      <c r="BV55" s="131"/>
      <c r="BW55" s="131"/>
      <c r="BX55" s="131"/>
      <c r="BY55" s="131"/>
      <c r="BZ55" s="131"/>
      <c r="CA55" s="131"/>
      <c r="CB55" s="131"/>
      <c r="CC55" s="131"/>
      <c r="CD55" s="131"/>
      <c r="CE55" s="131"/>
      <c r="CF55" s="131"/>
      <c r="CG55" s="131"/>
      <c r="CH55" s="131"/>
      <c r="CI55" s="131"/>
      <c r="CJ55" s="131"/>
      <c r="CK55" s="131"/>
      <c r="CL55" s="131"/>
      <c r="CM55" s="131"/>
      <c r="CN55" s="131"/>
      <c r="CO55" s="131"/>
      <c r="CP55" s="131"/>
      <c r="CQ55" s="131"/>
      <c r="CR55" s="131"/>
      <c r="CS55" s="131"/>
      <c r="CT55" s="131"/>
      <c r="CU55" s="131"/>
      <c r="CV55" s="131"/>
      <c r="CW55" s="131"/>
      <c r="CX55" s="131"/>
      <c r="CY55" s="131"/>
      <c r="CZ55" s="131"/>
      <c r="DA55" s="131"/>
      <c r="DB55" s="131"/>
      <c r="DC55" s="131"/>
      <c r="DD55" s="131"/>
      <c r="DE55" s="131"/>
      <c r="DF55" s="131"/>
      <c r="DG55" s="131"/>
      <c r="DH55" s="131"/>
      <c r="DI55" s="131"/>
      <c r="DJ55" s="131"/>
      <c r="DK55" s="131"/>
      <c r="DL55" s="131"/>
      <c r="DM55" s="131"/>
      <c r="DN55" s="131"/>
      <c r="DO55" s="131"/>
      <c r="DP55" s="131"/>
      <c r="DQ55" s="131"/>
      <c r="DR55" s="131"/>
      <c r="DS55" s="131"/>
      <c r="DT55" s="131"/>
      <c r="DU55" s="131"/>
      <c r="DV55" s="131"/>
      <c r="DW55" s="131"/>
      <c r="DX55" s="131"/>
      <c r="DY55" s="131"/>
      <c r="DZ55" s="131"/>
      <c r="EA55" s="131"/>
      <c r="EB55" s="131"/>
      <c r="EC55" s="131"/>
      <c r="ED55" s="131"/>
      <c r="EE55" s="131"/>
      <c r="EF55" s="131"/>
      <c r="EG55" s="131"/>
      <c r="EH55" s="131"/>
      <c r="EI55" s="131"/>
      <c r="EJ55" s="131"/>
      <c r="EK55" s="131"/>
      <c r="EL55" s="131"/>
      <c r="EM55" s="131"/>
      <c r="EN55" s="131"/>
      <c r="EO55" s="131"/>
      <c r="EP55" s="131"/>
      <c r="EQ55" s="131"/>
      <c r="ER55" s="131"/>
      <c r="ES55" s="131"/>
      <c r="ET55" s="131"/>
      <c r="EU55" s="131"/>
      <c r="EV55" s="131"/>
      <c r="EW55" s="131"/>
      <c r="EX55" s="131"/>
      <c r="EY55" s="131"/>
      <c r="EZ55" s="131"/>
      <c r="FA55" s="131"/>
      <c r="FB55" s="131"/>
      <c r="FC55" s="131"/>
      <c r="FD55" s="131"/>
      <c r="FE55" s="131"/>
      <c r="FF55" s="131"/>
      <c r="FG55" s="131"/>
      <c r="FH55" s="131"/>
      <c r="FI55" s="131"/>
      <c r="FJ55" s="131"/>
      <c r="FK55" s="131"/>
      <c r="FL55" s="131"/>
      <c r="FM55" s="131"/>
      <c r="FN55" s="131"/>
      <c r="FO55" s="131"/>
      <c r="FP55" s="131"/>
      <c r="FQ55" s="131"/>
      <c r="FR55" s="131"/>
      <c r="FS55" s="131"/>
      <c r="FT55" s="131"/>
      <c r="FU55" s="131"/>
      <c r="FV55" s="131"/>
      <c r="FW55" s="131"/>
      <c r="FX55" s="131"/>
      <c r="FY55" s="131"/>
      <c r="FZ55" s="131"/>
      <c r="GA55" s="131"/>
      <c r="GB55" s="131"/>
      <c r="GC55" s="131"/>
      <c r="GD55" s="131"/>
      <c r="GE55" s="131"/>
      <c r="GF55" s="131"/>
      <c r="GG55" s="131"/>
      <c r="GH55" s="131"/>
      <c r="GI55" s="131"/>
      <c r="GJ55" s="131"/>
      <c r="GK55" s="131"/>
      <c r="GL55" s="131"/>
      <c r="GM55" s="131"/>
      <c r="GN55" s="131"/>
      <c r="GO55" s="131"/>
      <c r="GP55" s="131"/>
      <c r="GQ55" s="131"/>
      <c r="GR55" s="131"/>
      <c r="GS55" s="131"/>
      <c r="GT55" s="131"/>
      <c r="GU55" s="131"/>
      <c r="GV55" s="131"/>
      <c r="GW55" s="131"/>
      <c r="GX55" s="131"/>
      <c r="GY55" s="131"/>
      <c r="GZ55" s="131"/>
      <c r="HA55" s="131"/>
      <c r="HB55" s="131"/>
      <c r="HC55" s="131"/>
      <c r="HD55" s="131"/>
      <c r="HE55" s="131"/>
      <c r="HF55" s="131"/>
      <c r="HG55" s="131"/>
      <c r="HH55" s="131"/>
      <c r="HI55" s="131"/>
      <c r="HJ55" s="131"/>
      <c r="HK55" s="131"/>
      <c r="HL55" s="131"/>
      <c r="HM55" s="131"/>
      <c r="HN55" s="131"/>
      <c r="HO55" s="131"/>
      <c r="HP55" s="131"/>
      <c r="HQ55" s="131"/>
      <c r="HR55" s="131"/>
      <c r="HS55" s="131"/>
      <c r="HT55" s="131"/>
      <c r="HU55" s="131"/>
      <c r="HV55" s="131"/>
      <c r="HW55" s="131"/>
      <c r="HX55" s="131"/>
      <c r="HY55" s="131"/>
      <c r="HZ55" s="131"/>
      <c r="IA55" s="131"/>
      <c r="IB55" s="131"/>
      <c r="IC55" s="131"/>
      <c r="ID55" s="131"/>
      <c r="IE55" s="131"/>
      <c r="IF55" s="131"/>
      <c r="IG55" s="131"/>
      <c r="IH55" s="131"/>
      <c r="II55" s="131"/>
      <c r="IJ55" s="131"/>
      <c r="IK55" s="131"/>
      <c r="IL55" s="131"/>
      <c r="IM55" s="131"/>
      <c r="IN55" s="131"/>
      <c r="IO55" s="131"/>
      <c r="IP55" s="131"/>
      <c r="IQ55" s="131"/>
      <c r="IR55" s="131"/>
      <c r="IS55" s="131"/>
      <c r="IT55" s="131"/>
      <c r="IU55" s="131"/>
      <c r="IV55" s="131"/>
      <c r="IW55" s="131"/>
      <c r="IX55" s="131"/>
      <c r="IY55" s="131"/>
      <c r="IZ55" s="131"/>
      <c r="JA55" s="131"/>
      <c r="JB55" s="131"/>
      <c r="JC55" s="131"/>
      <c r="JD55" s="131"/>
      <c r="JE55" s="131"/>
      <c r="JF55" s="131"/>
      <c r="JG55" s="131"/>
      <c r="JH55" s="131"/>
      <c r="JI55" s="131"/>
      <c r="JJ55" s="131"/>
      <c r="JK55" s="131"/>
      <c r="JL55" s="131"/>
      <c r="JM55" s="131"/>
      <c r="JN55" s="131"/>
      <c r="JO55" s="131"/>
      <c r="JP55" s="131"/>
      <c r="JQ55" s="131"/>
      <c r="JR55" s="131"/>
      <c r="JS55" s="131"/>
      <c r="JT55" s="131"/>
      <c r="JU55" s="131"/>
      <c r="JV55" s="131"/>
      <c r="JW55" s="131"/>
      <c r="JX55" s="131"/>
      <c r="JY55" s="131"/>
      <c r="JZ55" s="131"/>
      <c r="KA55" s="131"/>
      <c r="KB55" s="131"/>
      <c r="KC55" s="131"/>
      <c r="KD55" s="131"/>
      <c r="KE55" s="131"/>
      <c r="KF55" s="131"/>
      <c r="KG55" s="131"/>
      <c r="KH55" s="131"/>
      <c r="KI55" s="131"/>
      <c r="KJ55" s="131"/>
      <c r="KK55" s="131"/>
      <c r="KL55" s="131"/>
      <c r="KM55" s="131"/>
      <c r="KN55" s="131"/>
      <c r="KO55" s="131"/>
      <c r="KP55" s="131"/>
      <c r="KQ55" s="131"/>
      <c r="KR55" s="131"/>
      <c r="KS55" s="131"/>
      <c r="KT55" s="131"/>
      <c r="KU55" s="131"/>
      <c r="KV55" s="131"/>
      <c r="KW55" s="131"/>
      <c r="KX55" s="131"/>
      <c r="KY55" s="131"/>
      <c r="KZ55" s="131"/>
      <c r="LA55" s="131"/>
      <c r="LB55" s="131"/>
      <c r="LC55" s="131"/>
      <c r="LD55" s="131"/>
      <c r="LE55" s="131"/>
      <c r="LF55" s="131"/>
      <c r="LG55" s="131"/>
      <c r="LH55" s="131"/>
      <c r="LI55" s="131"/>
      <c r="LJ55" s="131"/>
      <c r="LK55" s="131"/>
      <c r="LL55" s="131"/>
      <c r="LM55" s="131"/>
      <c r="LN55" s="131"/>
      <c r="LO55" s="131"/>
      <c r="LP55" s="131"/>
      <c r="LQ55" s="131"/>
      <c r="LR55" s="131"/>
      <c r="LS55" s="131"/>
      <c r="LT55" s="131"/>
      <c r="LU55" s="131"/>
      <c r="LV55" s="131"/>
      <c r="LW55" s="131"/>
      <c r="LX55" s="131"/>
      <c r="LY55" s="131"/>
      <c r="LZ55" s="131"/>
      <c r="MA55" s="131"/>
      <c r="MB55" s="131"/>
      <c r="MC55" s="131"/>
      <c r="MD55" s="131"/>
      <c r="ME55" s="131"/>
      <c r="MF55" s="131"/>
      <c r="MG55" s="131"/>
      <c r="MH55" s="131"/>
      <c r="MI55" s="131"/>
      <c r="MJ55" s="131"/>
      <c r="MK55" s="131"/>
      <c r="ML55" s="131"/>
      <c r="MM55" s="131"/>
      <c r="MN55" s="131"/>
      <c r="MO55" s="131"/>
      <c r="MP55" s="131"/>
      <c r="MQ55" s="131"/>
      <c r="MR55" s="131"/>
      <c r="MS55" s="131"/>
      <c r="MT55" s="131"/>
      <c r="MU55" s="131"/>
      <c r="MV55" s="131"/>
      <c r="MW55" s="131"/>
      <c r="MX55" s="131"/>
      <c r="MY55" s="131"/>
      <c r="MZ55" s="131"/>
      <c r="NA55" s="131"/>
      <c r="NB55" s="131"/>
      <c r="NC55" s="131"/>
      <c r="ND55" s="131"/>
      <c r="NE55" s="131"/>
      <c r="NF55" s="131"/>
      <c r="NG55" s="131"/>
      <c r="NH55" s="131"/>
      <c r="NI55" s="131"/>
      <c r="NJ55" s="131"/>
      <c r="NK55" s="131"/>
      <c r="NL55" s="131"/>
      <c r="NM55" s="131"/>
      <c r="NN55" s="131"/>
      <c r="NO55" s="131"/>
      <c r="NP55" s="131"/>
      <c r="NQ55" s="131"/>
      <c r="NR55" s="131"/>
      <c r="NS55" s="131"/>
      <c r="NT55" s="131"/>
      <c r="NU55" s="131"/>
      <c r="NV55" s="131"/>
      <c r="NW55" s="131"/>
      <c r="NX55" s="131"/>
      <c r="NY55" s="131"/>
      <c r="NZ55" s="131"/>
      <c r="OA55" s="131"/>
      <c r="OB55" s="131"/>
      <c r="OC55" s="131"/>
      <c r="OD55" s="131"/>
      <c r="OE55" s="131"/>
      <c r="OF55" s="131"/>
      <c r="OG55" s="131"/>
      <c r="OH55" s="132"/>
    </row>
    <row r="56" spans="1:398" x14ac:dyDescent="0.35">
      <c r="A56" s="102"/>
      <c r="B56" s="168">
        <f t="shared" si="8"/>
        <v>28</v>
      </c>
      <c r="C56" s="171" t="s">
        <v>903</v>
      </c>
      <c r="D56" s="124" t="s">
        <v>751</v>
      </c>
      <c r="E56" s="124" t="s">
        <v>905</v>
      </c>
      <c r="F56" s="125" t="s">
        <v>907</v>
      </c>
      <c r="G56" s="125" t="s">
        <v>740</v>
      </c>
      <c r="H56" s="125"/>
      <c r="I56" s="129">
        <v>0</v>
      </c>
      <c r="J56" s="129">
        <v>0</v>
      </c>
      <c r="K56" s="129">
        <v>0</v>
      </c>
      <c r="L56" s="129">
        <v>0</v>
      </c>
      <c r="M56" s="129">
        <v>0</v>
      </c>
      <c r="N56" s="129">
        <v>0</v>
      </c>
      <c r="O56" s="130">
        <f t="shared" si="27"/>
        <v>0</v>
      </c>
      <c r="P56" s="129">
        <v>0</v>
      </c>
      <c r="Q56" s="129">
        <v>0</v>
      </c>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c r="BM56" s="131"/>
      <c r="BN56" s="131"/>
      <c r="BO56" s="131"/>
      <c r="BP56" s="131"/>
      <c r="BQ56" s="131"/>
      <c r="BR56" s="131"/>
      <c r="BS56" s="131"/>
      <c r="BT56" s="131"/>
      <c r="BU56" s="131"/>
      <c r="BV56" s="131"/>
      <c r="BW56" s="131"/>
      <c r="BX56" s="131"/>
      <c r="BY56" s="131"/>
      <c r="BZ56" s="131"/>
      <c r="CA56" s="131"/>
      <c r="CB56" s="131"/>
      <c r="CC56" s="131"/>
      <c r="CD56" s="131"/>
      <c r="CE56" s="131"/>
      <c r="CF56" s="131"/>
      <c r="CG56" s="131"/>
      <c r="CH56" s="131"/>
      <c r="CI56" s="131"/>
      <c r="CJ56" s="131"/>
      <c r="CK56" s="131"/>
      <c r="CL56" s="131"/>
      <c r="CM56" s="131"/>
      <c r="CN56" s="131"/>
      <c r="CO56" s="131"/>
      <c r="CP56" s="131"/>
      <c r="CQ56" s="131"/>
      <c r="CR56" s="131"/>
      <c r="CS56" s="131"/>
      <c r="CT56" s="131"/>
      <c r="CU56" s="131"/>
      <c r="CV56" s="131"/>
      <c r="CW56" s="131"/>
      <c r="CX56" s="131"/>
      <c r="CY56" s="131"/>
      <c r="CZ56" s="131"/>
      <c r="DA56" s="131"/>
      <c r="DB56" s="131"/>
      <c r="DC56" s="131"/>
      <c r="DD56" s="131"/>
      <c r="DE56" s="131"/>
      <c r="DF56" s="131"/>
      <c r="DG56" s="131"/>
      <c r="DH56" s="131"/>
      <c r="DI56" s="131"/>
      <c r="DJ56" s="131"/>
      <c r="DK56" s="131"/>
      <c r="DL56" s="131"/>
      <c r="DM56" s="131"/>
      <c r="DN56" s="131"/>
      <c r="DO56" s="131"/>
      <c r="DP56" s="131"/>
      <c r="DQ56" s="131"/>
      <c r="DR56" s="131"/>
      <c r="DS56" s="131"/>
      <c r="DT56" s="131"/>
      <c r="DU56" s="131"/>
      <c r="DV56" s="131"/>
      <c r="DW56" s="131"/>
      <c r="DX56" s="131"/>
      <c r="DY56" s="131"/>
      <c r="DZ56" s="131"/>
      <c r="EA56" s="131"/>
      <c r="EB56" s="131"/>
      <c r="EC56" s="131"/>
      <c r="ED56" s="131"/>
      <c r="EE56" s="131"/>
      <c r="EF56" s="131"/>
      <c r="EG56" s="131"/>
      <c r="EH56" s="131"/>
      <c r="EI56" s="131"/>
      <c r="EJ56" s="131"/>
      <c r="EK56" s="131"/>
      <c r="EL56" s="131"/>
      <c r="EM56" s="131"/>
      <c r="EN56" s="131"/>
      <c r="EO56" s="131"/>
      <c r="EP56" s="131"/>
      <c r="EQ56" s="131"/>
      <c r="ER56" s="131"/>
      <c r="ES56" s="131"/>
      <c r="ET56" s="131"/>
      <c r="EU56" s="131"/>
      <c r="EV56" s="131"/>
      <c r="EW56" s="131"/>
      <c r="EX56" s="131"/>
      <c r="EY56" s="131"/>
      <c r="EZ56" s="131"/>
      <c r="FA56" s="131"/>
      <c r="FB56" s="131"/>
      <c r="FC56" s="131"/>
      <c r="FD56" s="131"/>
      <c r="FE56" s="131"/>
      <c r="FF56" s="131"/>
      <c r="FG56" s="131"/>
      <c r="FH56" s="131"/>
      <c r="FI56" s="131"/>
      <c r="FJ56" s="131"/>
      <c r="FK56" s="131"/>
      <c r="FL56" s="131"/>
      <c r="FM56" s="131"/>
      <c r="FN56" s="131"/>
      <c r="FO56" s="131"/>
      <c r="FP56" s="131"/>
      <c r="FQ56" s="131"/>
      <c r="FR56" s="131"/>
      <c r="FS56" s="131"/>
      <c r="FT56" s="131"/>
      <c r="FU56" s="131"/>
      <c r="FV56" s="131"/>
      <c r="FW56" s="131"/>
      <c r="FX56" s="131"/>
      <c r="FY56" s="131"/>
      <c r="FZ56" s="131"/>
      <c r="GA56" s="131"/>
      <c r="GB56" s="131"/>
      <c r="GC56" s="131"/>
      <c r="GD56" s="131"/>
      <c r="GE56" s="131"/>
      <c r="GF56" s="131"/>
      <c r="GG56" s="131"/>
      <c r="GH56" s="131"/>
      <c r="GI56" s="131"/>
      <c r="GJ56" s="131"/>
      <c r="GK56" s="131"/>
      <c r="GL56" s="131"/>
      <c r="GM56" s="131"/>
      <c r="GN56" s="131"/>
      <c r="GO56" s="131"/>
      <c r="GP56" s="131"/>
      <c r="GQ56" s="131"/>
      <c r="GR56" s="131"/>
      <c r="GS56" s="131"/>
      <c r="GT56" s="131"/>
      <c r="GU56" s="131"/>
      <c r="GV56" s="131"/>
      <c r="GW56" s="131"/>
      <c r="GX56" s="131"/>
      <c r="GY56" s="131"/>
      <c r="GZ56" s="131"/>
      <c r="HA56" s="131"/>
      <c r="HB56" s="131"/>
      <c r="HC56" s="131"/>
      <c r="HD56" s="131"/>
      <c r="HE56" s="131"/>
      <c r="HF56" s="131"/>
      <c r="HG56" s="131"/>
      <c r="HH56" s="131"/>
      <c r="HI56" s="131"/>
      <c r="HJ56" s="131"/>
      <c r="HK56" s="131"/>
      <c r="HL56" s="131"/>
      <c r="HM56" s="131"/>
      <c r="HN56" s="131"/>
      <c r="HO56" s="131"/>
      <c r="HP56" s="131"/>
      <c r="HQ56" s="131"/>
      <c r="HR56" s="131"/>
      <c r="HS56" s="131"/>
      <c r="HT56" s="131"/>
      <c r="HU56" s="131"/>
      <c r="HV56" s="131"/>
      <c r="HW56" s="131"/>
      <c r="HX56" s="131"/>
      <c r="HY56" s="131"/>
      <c r="HZ56" s="131"/>
      <c r="IA56" s="131"/>
      <c r="IB56" s="131"/>
      <c r="IC56" s="131"/>
      <c r="ID56" s="131"/>
      <c r="IE56" s="131"/>
      <c r="IF56" s="131"/>
      <c r="IG56" s="131"/>
      <c r="IH56" s="131"/>
      <c r="II56" s="131"/>
      <c r="IJ56" s="131"/>
      <c r="IK56" s="131"/>
      <c r="IL56" s="131"/>
      <c r="IM56" s="131"/>
      <c r="IN56" s="131"/>
      <c r="IO56" s="131"/>
      <c r="IP56" s="131"/>
      <c r="IQ56" s="131"/>
      <c r="IR56" s="131"/>
      <c r="IS56" s="131"/>
      <c r="IT56" s="131"/>
      <c r="IU56" s="131"/>
      <c r="IV56" s="131"/>
      <c r="IW56" s="131"/>
      <c r="IX56" s="131"/>
      <c r="IY56" s="131"/>
      <c r="IZ56" s="131"/>
      <c r="JA56" s="131"/>
      <c r="JB56" s="131"/>
      <c r="JC56" s="131"/>
      <c r="JD56" s="131"/>
      <c r="JE56" s="131"/>
      <c r="JF56" s="131"/>
      <c r="JG56" s="131"/>
      <c r="JH56" s="131"/>
      <c r="JI56" s="131"/>
      <c r="JJ56" s="131"/>
      <c r="JK56" s="131"/>
      <c r="JL56" s="131"/>
      <c r="JM56" s="131"/>
      <c r="JN56" s="131"/>
      <c r="JO56" s="131"/>
      <c r="JP56" s="131"/>
      <c r="JQ56" s="131"/>
      <c r="JR56" s="131"/>
      <c r="JS56" s="131"/>
      <c r="JT56" s="131"/>
      <c r="JU56" s="131"/>
      <c r="JV56" s="131"/>
      <c r="JW56" s="131"/>
      <c r="JX56" s="131"/>
      <c r="JY56" s="131"/>
      <c r="JZ56" s="131"/>
      <c r="KA56" s="131"/>
      <c r="KB56" s="131"/>
      <c r="KC56" s="131"/>
      <c r="KD56" s="131"/>
      <c r="KE56" s="131"/>
      <c r="KF56" s="131"/>
      <c r="KG56" s="131"/>
      <c r="KH56" s="131"/>
      <c r="KI56" s="131"/>
      <c r="KJ56" s="131"/>
      <c r="KK56" s="131"/>
      <c r="KL56" s="131"/>
      <c r="KM56" s="131"/>
      <c r="KN56" s="131"/>
      <c r="KO56" s="131"/>
      <c r="KP56" s="131"/>
      <c r="KQ56" s="131"/>
      <c r="KR56" s="131"/>
      <c r="KS56" s="131"/>
      <c r="KT56" s="131"/>
      <c r="KU56" s="131"/>
      <c r="KV56" s="131"/>
      <c r="KW56" s="131"/>
      <c r="KX56" s="131"/>
      <c r="KY56" s="131"/>
      <c r="KZ56" s="131"/>
      <c r="LA56" s="131"/>
      <c r="LB56" s="131"/>
      <c r="LC56" s="131"/>
      <c r="LD56" s="131"/>
      <c r="LE56" s="131"/>
      <c r="LF56" s="131"/>
      <c r="LG56" s="131"/>
      <c r="LH56" s="131"/>
      <c r="LI56" s="131"/>
      <c r="LJ56" s="131"/>
      <c r="LK56" s="131"/>
      <c r="LL56" s="131"/>
      <c r="LM56" s="131"/>
      <c r="LN56" s="131"/>
      <c r="LO56" s="131"/>
      <c r="LP56" s="131"/>
      <c r="LQ56" s="131"/>
      <c r="LR56" s="131"/>
      <c r="LS56" s="131"/>
      <c r="LT56" s="131"/>
      <c r="LU56" s="131"/>
      <c r="LV56" s="131"/>
      <c r="LW56" s="131"/>
      <c r="LX56" s="131"/>
      <c r="LY56" s="131"/>
      <c r="LZ56" s="131"/>
      <c r="MA56" s="131"/>
      <c r="MB56" s="131"/>
      <c r="MC56" s="131"/>
      <c r="MD56" s="131"/>
      <c r="ME56" s="131"/>
      <c r="MF56" s="131"/>
      <c r="MG56" s="131"/>
      <c r="MH56" s="131"/>
      <c r="MI56" s="131"/>
      <c r="MJ56" s="131"/>
      <c r="MK56" s="131"/>
      <c r="ML56" s="131"/>
      <c r="MM56" s="131"/>
      <c r="MN56" s="131"/>
      <c r="MO56" s="131"/>
      <c r="MP56" s="131"/>
      <c r="MQ56" s="131"/>
      <c r="MR56" s="131"/>
      <c r="MS56" s="131"/>
      <c r="MT56" s="131"/>
      <c r="MU56" s="131"/>
      <c r="MV56" s="131"/>
      <c r="MW56" s="131"/>
      <c r="MX56" s="131"/>
      <c r="MY56" s="131"/>
      <c r="MZ56" s="131"/>
      <c r="NA56" s="131"/>
      <c r="NB56" s="131"/>
      <c r="NC56" s="131"/>
      <c r="ND56" s="131"/>
      <c r="NE56" s="131"/>
      <c r="NF56" s="131"/>
      <c r="NG56" s="131"/>
      <c r="NH56" s="131"/>
      <c r="NI56" s="131"/>
      <c r="NJ56" s="131"/>
      <c r="NK56" s="131"/>
      <c r="NL56" s="131"/>
      <c r="NM56" s="131"/>
      <c r="NN56" s="131"/>
      <c r="NO56" s="131"/>
      <c r="NP56" s="131"/>
      <c r="NQ56" s="131"/>
      <c r="NR56" s="131"/>
      <c r="NS56" s="131"/>
      <c r="NT56" s="131"/>
      <c r="NU56" s="131"/>
      <c r="NV56" s="131"/>
      <c r="NW56" s="131"/>
      <c r="NX56" s="131"/>
      <c r="NY56" s="131"/>
      <c r="NZ56" s="131"/>
      <c r="OA56" s="131"/>
      <c r="OB56" s="131"/>
      <c r="OC56" s="131"/>
      <c r="OD56" s="131"/>
      <c r="OE56" s="131"/>
      <c r="OF56" s="131"/>
      <c r="OG56" s="131"/>
      <c r="OH56" s="132"/>
    </row>
    <row r="57" spans="1:398" x14ac:dyDescent="0.35">
      <c r="A57" s="102"/>
      <c r="B57" s="168">
        <f t="shared" si="8"/>
        <v>29</v>
      </c>
      <c r="C57" s="171" t="s">
        <v>903</v>
      </c>
      <c r="D57" s="124" t="s">
        <v>751</v>
      </c>
      <c r="E57" s="124" t="s">
        <v>905</v>
      </c>
      <c r="F57" s="125" t="s">
        <v>907</v>
      </c>
      <c r="G57" s="125" t="s">
        <v>741</v>
      </c>
      <c r="H57" s="125"/>
      <c r="I57" s="129">
        <v>0</v>
      </c>
      <c r="J57" s="129">
        <v>0</v>
      </c>
      <c r="K57" s="129">
        <v>0</v>
      </c>
      <c r="L57" s="129">
        <v>0</v>
      </c>
      <c r="M57" s="129">
        <v>0</v>
      </c>
      <c r="N57" s="129">
        <v>0</v>
      </c>
      <c r="O57" s="130">
        <f t="shared" si="27"/>
        <v>0</v>
      </c>
      <c r="P57" s="129">
        <v>0</v>
      </c>
      <c r="Q57" s="129">
        <v>0</v>
      </c>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c r="CR57" s="131"/>
      <c r="CS57" s="131"/>
      <c r="CT57" s="131"/>
      <c r="CU57" s="131"/>
      <c r="CV57" s="131"/>
      <c r="CW57" s="131"/>
      <c r="CX57" s="131"/>
      <c r="CY57" s="131"/>
      <c r="CZ57" s="131"/>
      <c r="DA57" s="131"/>
      <c r="DB57" s="131"/>
      <c r="DC57" s="131"/>
      <c r="DD57" s="131"/>
      <c r="DE57" s="131"/>
      <c r="DF57" s="131"/>
      <c r="DG57" s="131"/>
      <c r="DH57" s="131"/>
      <c r="DI57" s="131"/>
      <c r="DJ57" s="131"/>
      <c r="DK57" s="131"/>
      <c r="DL57" s="131"/>
      <c r="DM57" s="131"/>
      <c r="DN57" s="131"/>
      <c r="DO57" s="131"/>
      <c r="DP57" s="131"/>
      <c r="DQ57" s="131"/>
      <c r="DR57" s="131"/>
      <c r="DS57" s="131"/>
      <c r="DT57" s="131"/>
      <c r="DU57" s="131"/>
      <c r="DV57" s="131"/>
      <c r="DW57" s="131"/>
      <c r="DX57" s="131"/>
      <c r="DY57" s="131"/>
      <c r="DZ57" s="131"/>
      <c r="EA57" s="131"/>
      <c r="EB57" s="131"/>
      <c r="EC57" s="131"/>
      <c r="ED57" s="131"/>
      <c r="EE57" s="131"/>
      <c r="EF57" s="131"/>
      <c r="EG57" s="131"/>
      <c r="EH57" s="131"/>
      <c r="EI57" s="131"/>
      <c r="EJ57" s="131"/>
      <c r="EK57" s="131"/>
      <c r="EL57" s="131"/>
      <c r="EM57" s="131"/>
      <c r="EN57" s="131"/>
      <c r="EO57" s="131"/>
      <c r="EP57" s="131"/>
      <c r="EQ57" s="131"/>
      <c r="ER57" s="131"/>
      <c r="ES57" s="131"/>
      <c r="ET57" s="131"/>
      <c r="EU57" s="131"/>
      <c r="EV57" s="131"/>
      <c r="EW57" s="131"/>
      <c r="EX57" s="131"/>
      <c r="EY57" s="131"/>
      <c r="EZ57" s="131"/>
      <c r="FA57" s="131"/>
      <c r="FB57" s="131"/>
      <c r="FC57" s="131"/>
      <c r="FD57" s="131"/>
      <c r="FE57" s="131"/>
      <c r="FF57" s="131"/>
      <c r="FG57" s="131"/>
      <c r="FH57" s="131"/>
      <c r="FI57" s="131"/>
      <c r="FJ57" s="131"/>
      <c r="FK57" s="131"/>
      <c r="FL57" s="131"/>
      <c r="FM57" s="131"/>
      <c r="FN57" s="131"/>
      <c r="FO57" s="131"/>
      <c r="FP57" s="131"/>
      <c r="FQ57" s="131"/>
      <c r="FR57" s="131"/>
      <c r="FS57" s="131"/>
      <c r="FT57" s="131"/>
      <c r="FU57" s="131"/>
      <c r="FV57" s="131"/>
      <c r="FW57" s="131"/>
      <c r="FX57" s="131"/>
      <c r="FY57" s="131"/>
      <c r="FZ57" s="131"/>
      <c r="GA57" s="131"/>
      <c r="GB57" s="131"/>
      <c r="GC57" s="131"/>
      <c r="GD57" s="131"/>
      <c r="GE57" s="131"/>
      <c r="GF57" s="131"/>
      <c r="GG57" s="131"/>
      <c r="GH57" s="131"/>
      <c r="GI57" s="131"/>
      <c r="GJ57" s="131"/>
      <c r="GK57" s="131"/>
      <c r="GL57" s="131"/>
      <c r="GM57" s="131"/>
      <c r="GN57" s="131"/>
      <c r="GO57" s="131"/>
      <c r="GP57" s="131"/>
      <c r="GQ57" s="131"/>
      <c r="GR57" s="131"/>
      <c r="GS57" s="131"/>
      <c r="GT57" s="131"/>
      <c r="GU57" s="131"/>
      <c r="GV57" s="131"/>
      <c r="GW57" s="131"/>
      <c r="GX57" s="131"/>
      <c r="GY57" s="131"/>
      <c r="GZ57" s="131"/>
      <c r="HA57" s="131"/>
      <c r="HB57" s="131"/>
      <c r="HC57" s="131"/>
      <c r="HD57" s="131"/>
      <c r="HE57" s="131"/>
      <c r="HF57" s="131"/>
      <c r="HG57" s="131"/>
      <c r="HH57" s="131"/>
      <c r="HI57" s="131"/>
      <c r="HJ57" s="131"/>
      <c r="HK57" s="131"/>
      <c r="HL57" s="131"/>
      <c r="HM57" s="131"/>
      <c r="HN57" s="131"/>
      <c r="HO57" s="131"/>
      <c r="HP57" s="131"/>
      <c r="HQ57" s="131"/>
      <c r="HR57" s="131"/>
      <c r="HS57" s="131"/>
      <c r="HT57" s="131"/>
      <c r="HU57" s="131"/>
      <c r="HV57" s="131"/>
      <c r="HW57" s="131"/>
      <c r="HX57" s="131"/>
      <c r="HY57" s="131"/>
      <c r="HZ57" s="131"/>
      <c r="IA57" s="131"/>
      <c r="IB57" s="131"/>
      <c r="IC57" s="131"/>
      <c r="ID57" s="131"/>
      <c r="IE57" s="131"/>
      <c r="IF57" s="131"/>
      <c r="IG57" s="131"/>
      <c r="IH57" s="131"/>
      <c r="II57" s="131"/>
      <c r="IJ57" s="131"/>
      <c r="IK57" s="131"/>
      <c r="IL57" s="131"/>
      <c r="IM57" s="131"/>
      <c r="IN57" s="131"/>
      <c r="IO57" s="131"/>
      <c r="IP57" s="131"/>
      <c r="IQ57" s="131"/>
      <c r="IR57" s="131"/>
      <c r="IS57" s="131"/>
      <c r="IT57" s="131"/>
      <c r="IU57" s="131"/>
      <c r="IV57" s="131"/>
      <c r="IW57" s="131"/>
      <c r="IX57" s="131"/>
      <c r="IY57" s="131"/>
      <c r="IZ57" s="131"/>
      <c r="JA57" s="131"/>
      <c r="JB57" s="131"/>
      <c r="JC57" s="131"/>
      <c r="JD57" s="131"/>
      <c r="JE57" s="131"/>
      <c r="JF57" s="131"/>
      <c r="JG57" s="131"/>
      <c r="JH57" s="131"/>
      <c r="JI57" s="131"/>
      <c r="JJ57" s="131"/>
      <c r="JK57" s="131"/>
      <c r="JL57" s="131"/>
      <c r="JM57" s="131"/>
      <c r="JN57" s="131"/>
      <c r="JO57" s="131"/>
      <c r="JP57" s="131"/>
      <c r="JQ57" s="131"/>
      <c r="JR57" s="131"/>
      <c r="JS57" s="131"/>
      <c r="JT57" s="131"/>
      <c r="JU57" s="131"/>
      <c r="JV57" s="131"/>
      <c r="JW57" s="131"/>
      <c r="JX57" s="131"/>
      <c r="JY57" s="131"/>
      <c r="JZ57" s="131"/>
      <c r="KA57" s="131"/>
      <c r="KB57" s="131"/>
      <c r="KC57" s="131"/>
      <c r="KD57" s="131"/>
      <c r="KE57" s="131"/>
      <c r="KF57" s="131"/>
      <c r="KG57" s="131"/>
      <c r="KH57" s="131"/>
      <c r="KI57" s="131"/>
      <c r="KJ57" s="131"/>
      <c r="KK57" s="131"/>
      <c r="KL57" s="131"/>
      <c r="KM57" s="131"/>
      <c r="KN57" s="131"/>
      <c r="KO57" s="131"/>
      <c r="KP57" s="131"/>
      <c r="KQ57" s="131"/>
      <c r="KR57" s="131"/>
      <c r="KS57" s="131"/>
      <c r="KT57" s="131"/>
      <c r="KU57" s="131"/>
      <c r="KV57" s="131"/>
      <c r="KW57" s="131"/>
      <c r="KX57" s="131"/>
      <c r="KY57" s="131"/>
      <c r="KZ57" s="131"/>
      <c r="LA57" s="131"/>
      <c r="LB57" s="131"/>
      <c r="LC57" s="131"/>
      <c r="LD57" s="131"/>
      <c r="LE57" s="131"/>
      <c r="LF57" s="131"/>
      <c r="LG57" s="131"/>
      <c r="LH57" s="131"/>
      <c r="LI57" s="131"/>
      <c r="LJ57" s="131"/>
      <c r="LK57" s="131"/>
      <c r="LL57" s="131"/>
      <c r="LM57" s="131"/>
      <c r="LN57" s="131"/>
      <c r="LO57" s="131"/>
      <c r="LP57" s="131"/>
      <c r="LQ57" s="131"/>
      <c r="LR57" s="131"/>
      <c r="LS57" s="131"/>
      <c r="LT57" s="131"/>
      <c r="LU57" s="131"/>
      <c r="LV57" s="131"/>
      <c r="LW57" s="131"/>
      <c r="LX57" s="131"/>
      <c r="LY57" s="131"/>
      <c r="LZ57" s="131"/>
      <c r="MA57" s="131"/>
      <c r="MB57" s="131"/>
      <c r="MC57" s="131"/>
      <c r="MD57" s="131"/>
      <c r="ME57" s="131"/>
      <c r="MF57" s="131"/>
      <c r="MG57" s="131"/>
      <c r="MH57" s="131"/>
      <c r="MI57" s="131"/>
      <c r="MJ57" s="131"/>
      <c r="MK57" s="131"/>
      <c r="ML57" s="131"/>
      <c r="MM57" s="131"/>
      <c r="MN57" s="131"/>
      <c r="MO57" s="131"/>
      <c r="MP57" s="131"/>
      <c r="MQ57" s="131"/>
      <c r="MR57" s="131"/>
      <c r="MS57" s="131"/>
      <c r="MT57" s="131"/>
      <c r="MU57" s="131"/>
      <c r="MV57" s="131"/>
      <c r="MW57" s="131"/>
      <c r="MX57" s="131"/>
      <c r="MY57" s="131"/>
      <c r="MZ57" s="131"/>
      <c r="NA57" s="131"/>
      <c r="NB57" s="131"/>
      <c r="NC57" s="131"/>
      <c r="ND57" s="131"/>
      <c r="NE57" s="131"/>
      <c r="NF57" s="131"/>
      <c r="NG57" s="131"/>
      <c r="NH57" s="131"/>
      <c r="NI57" s="131"/>
      <c r="NJ57" s="131"/>
      <c r="NK57" s="131"/>
      <c r="NL57" s="131"/>
      <c r="NM57" s="131"/>
      <c r="NN57" s="131"/>
      <c r="NO57" s="131"/>
      <c r="NP57" s="131"/>
      <c r="NQ57" s="131"/>
      <c r="NR57" s="131"/>
      <c r="NS57" s="131"/>
      <c r="NT57" s="131"/>
      <c r="NU57" s="131"/>
      <c r="NV57" s="131"/>
      <c r="NW57" s="131"/>
      <c r="NX57" s="131"/>
      <c r="NY57" s="131"/>
      <c r="NZ57" s="131"/>
      <c r="OA57" s="131"/>
      <c r="OB57" s="131"/>
      <c r="OC57" s="131"/>
      <c r="OD57" s="131"/>
      <c r="OE57" s="131"/>
      <c r="OF57" s="131"/>
      <c r="OG57" s="131"/>
      <c r="OH57" s="132"/>
    </row>
    <row r="58" spans="1:398" x14ac:dyDescent="0.35">
      <c r="A58" s="102"/>
      <c r="B58" s="168">
        <f t="shared" si="8"/>
        <v>30</v>
      </c>
      <c r="C58" s="171" t="s">
        <v>903</v>
      </c>
      <c r="D58" s="124" t="s">
        <v>751</v>
      </c>
      <c r="E58" s="124" t="s">
        <v>905</v>
      </c>
      <c r="F58" s="125" t="s">
        <v>907</v>
      </c>
      <c r="G58" s="125" t="s">
        <v>742</v>
      </c>
      <c r="H58" s="125"/>
      <c r="I58" s="129">
        <v>0</v>
      </c>
      <c r="J58" s="129">
        <v>0</v>
      </c>
      <c r="K58" s="129">
        <v>0</v>
      </c>
      <c r="L58" s="129">
        <v>0</v>
      </c>
      <c r="M58" s="129">
        <v>0</v>
      </c>
      <c r="N58" s="129">
        <v>0</v>
      </c>
      <c r="O58" s="130">
        <f t="shared" si="27"/>
        <v>0</v>
      </c>
      <c r="P58" s="129">
        <v>0</v>
      </c>
      <c r="Q58" s="129">
        <v>0</v>
      </c>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1"/>
      <c r="BF58" s="131"/>
      <c r="BG58" s="131"/>
      <c r="BH58" s="131"/>
      <c r="BI58" s="131"/>
      <c r="BJ58" s="131"/>
      <c r="BK58" s="131"/>
      <c r="BL58" s="131"/>
      <c r="BM58" s="131"/>
      <c r="BN58" s="131"/>
      <c r="BO58" s="131"/>
      <c r="BP58" s="131"/>
      <c r="BQ58" s="131"/>
      <c r="BR58" s="131"/>
      <c r="BS58" s="131"/>
      <c r="BT58" s="131"/>
      <c r="BU58" s="131"/>
      <c r="BV58" s="131"/>
      <c r="BW58" s="131"/>
      <c r="BX58" s="131"/>
      <c r="BY58" s="131"/>
      <c r="BZ58" s="131"/>
      <c r="CA58" s="131"/>
      <c r="CB58" s="131"/>
      <c r="CC58" s="131"/>
      <c r="CD58" s="131"/>
      <c r="CE58" s="131"/>
      <c r="CF58" s="131"/>
      <c r="CG58" s="131"/>
      <c r="CH58" s="131"/>
      <c r="CI58" s="131"/>
      <c r="CJ58" s="131"/>
      <c r="CK58" s="131"/>
      <c r="CL58" s="131"/>
      <c r="CM58" s="131"/>
      <c r="CN58" s="131"/>
      <c r="CO58" s="131"/>
      <c r="CP58" s="131"/>
      <c r="CQ58" s="131"/>
      <c r="CR58" s="131"/>
      <c r="CS58" s="131"/>
      <c r="CT58" s="131"/>
      <c r="CU58" s="131"/>
      <c r="CV58" s="131"/>
      <c r="CW58" s="131"/>
      <c r="CX58" s="131"/>
      <c r="CY58" s="131"/>
      <c r="CZ58" s="131"/>
      <c r="DA58" s="131"/>
      <c r="DB58" s="131"/>
      <c r="DC58" s="131"/>
      <c r="DD58" s="131"/>
      <c r="DE58" s="131"/>
      <c r="DF58" s="131"/>
      <c r="DG58" s="131"/>
      <c r="DH58" s="131"/>
      <c r="DI58" s="131"/>
      <c r="DJ58" s="131"/>
      <c r="DK58" s="131"/>
      <c r="DL58" s="131"/>
      <c r="DM58" s="131"/>
      <c r="DN58" s="131"/>
      <c r="DO58" s="131"/>
      <c r="DP58" s="131"/>
      <c r="DQ58" s="131"/>
      <c r="DR58" s="131"/>
      <c r="DS58" s="131"/>
      <c r="DT58" s="131"/>
      <c r="DU58" s="131"/>
      <c r="DV58" s="131"/>
      <c r="DW58" s="131"/>
      <c r="DX58" s="131"/>
      <c r="DY58" s="131"/>
      <c r="DZ58" s="131"/>
      <c r="EA58" s="131"/>
      <c r="EB58" s="131"/>
      <c r="EC58" s="131"/>
      <c r="ED58" s="131"/>
      <c r="EE58" s="131"/>
      <c r="EF58" s="131"/>
      <c r="EG58" s="131"/>
      <c r="EH58" s="131"/>
      <c r="EI58" s="131"/>
      <c r="EJ58" s="131"/>
      <c r="EK58" s="131"/>
      <c r="EL58" s="131"/>
      <c r="EM58" s="131"/>
      <c r="EN58" s="131"/>
      <c r="EO58" s="131"/>
      <c r="EP58" s="131"/>
      <c r="EQ58" s="131"/>
      <c r="ER58" s="131"/>
      <c r="ES58" s="131"/>
      <c r="ET58" s="131"/>
      <c r="EU58" s="131"/>
      <c r="EV58" s="131"/>
      <c r="EW58" s="131"/>
      <c r="EX58" s="131"/>
      <c r="EY58" s="131"/>
      <c r="EZ58" s="131"/>
      <c r="FA58" s="131"/>
      <c r="FB58" s="131"/>
      <c r="FC58" s="131"/>
      <c r="FD58" s="131"/>
      <c r="FE58" s="131"/>
      <c r="FF58" s="131"/>
      <c r="FG58" s="131"/>
      <c r="FH58" s="131"/>
      <c r="FI58" s="131"/>
      <c r="FJ58" s="131"/>
      <c r="FK58" s="131"/>
      <c r="FL58" s="131"/>
      <c r="FM58" s="131"/>
      <c r="FN58" s="131"/>
      <c r="FO58" s="131"/>
      <c r="FP58" s="131"/>
      <c r="FQ58" s="131"/>
      <c r="FR58" s="131"/>
      <c r="FS58" s="131"/>
      <c r="FT58" s="131"/>
      <c r="FU58" s="131"/>
      <c r="FV58" s="131"/>
      <c r="FW58" s="131"/>
      <c r="FX58" s="131"/>
      <c r="FY58" s="131"/>
      <c r="FZ58" s="131"/>
      <c r="GA58" s="131"/>
      <c r="GB58" s="131"/>
      <c r="GC58" s="131"/>
      <c r="GD58" s="131"/>
      <c r="GE58" s="131"/>
      <c r="GF58" s="131"/>
      <c r="GG58" s="131"/>
      <c r="GH58" s="131"/>
      <c r="GI58" s="131"/>
      <c r="GJ58" s="131"/>
      <c r="GK58" s="131"/>
      <c r="GL58" s="131"/>
      <c r="GM58" s="131"/>
      <c r="GN58" s="131"/>
      <c r="GO58" s="131"/>
      <c r="GP58" s="131"/>
      <c r="GQ58" s="131"/>
      <c r="GR58" s="131"/>
      <c r="GS58" s="131"/>
      <c r="GT58" s="131"/>
      <c r="GU58" s="131"/>
      <c r="GV58" s="131"/>
      <c r="GW58" s="131"/>
      <c r="GX58" s="131"/>
      <c r="GY58" s="131"/>
      <c r="GZ58" s="131"/>
      <c r="HA58" s="131"/>
      <c r="HB58" s="131"/>
      <c r="HC58" s="131"/>
      <c r="HD58" s="131"/>
      <c r="HE58" s="131"/>
      <c r="HF58" s="131"/>
      <c r="HG58" s="131"/>
      <c r="HH58" s="131"/>
      <c r="HI58" s="131"/>
      <c r="HJ58" s="131"/>
      <c r="HK58" s="131"/>
      <c r="HL58" s="131"/>
      <c r="HM58" s="131"/>
      <c r="HN58" s="131"/>
      <c r="HO58" s="131"/>
      <c r="HP58" s="131"/>
      <c r="HQ58" s="131"/>
      <c r="HR58" s="131"/>
      <c r="HS58" s="131"/>
      <c r="HT58" s="131"/>
      <c r="HU58" s="131"/>
      <c r="HV58" s="131"/>
      <c r="HW58" s="131"/>
      <c r="HX58" s="131"/>
      <c r="HY58" s="131"/>
      <c r="HZ58" s="131"/>
      <c r="IA58" s="131"/>
      <c r="IB58" s="131"/>
      <c r="IC58" s="131"/>
      <c r="ID58" s="131"/>
      <c r="IE58" s="131"/>
      <c r="IF58" s="131"/>
      <c r="IG58" s="131"/>
      <c r="IH58" s="131"/>
      <c r="II58" s="131"/>
      <c r="IJ58" s="131"/>
      <c r="IK58" s="131"/>
      <c r="IL58" s="131"/>
      <c r="IM58" s="131"/>
      <c r="IN58" s="131"/>
      <c r="IO58" s="131"/>
      <c r="IP58" s="131"/>
      <c r="IQ58" s="131"/>
      <c r="IR58" s="131"/>
      <c r="IS58" s="131"/>
      <c r="IT58" s="131"/>
      <c r="IU58" s="131"/>
      <c r="IV58" s="131"/>
      <c r="IW58" s="131"/>
      <c r="IX58" s="131"/>
      <c r="IY58" s="131"/>
      <c r="IZ58" s="131"/>
      <c r="JA58" s="131"/>
      <c r="JB58" s="131"/>
      <c r="JC58" s="131"/>
      <c r="JD58" s="131"/>
      <c r="JE58" s="131"/>
      <c r="JF58" s="131"/>
      <c r="JG58" s="131"/>
      <c r="JH58" s="131"/>
      <c r="JI58" s="131"/>
      <c r="JJ58" s="131"/>
      <c r="JK58" s="131"/>
      <c r="JL58" s="131"/>
      <c r="JM58" s="131"/>
      <c r="JN58" s="131"/>
      <c r="JO58" s="131"/>
      <c r="JP58" s="131"/>
      <c r="JQ58" s="131"/>
      <c r="JR58" s="131"/>
      <c r="JS58" s="131"/>
      <c r="JT58" s="131"/>
      <c r="JU58" s="131"/>
      <c r="JV58" s="131"/>
      <c r="JW58" s="131"/>
      <c r="JX58" s="131"/>
      <c r="JY58" s="131"/>
      <c r="JZ58" s="131"/>
      <c r="KA58" s="131"/>
      <c r="KB58" s="131"/>
      <c r="KC58" s="131"/>
      <c r="KD58" s="131"/>
      <c r="KE58" s="131"/>
      <c r="KF58" s="131"/>
      <c r="KG58" s="131"/>
      <c r="KH58" s="131"/>
      <c r="KI58" s="131"/>
      <c r="KJ58" s="131"/>
      <c r="KK58" s="131"/>
      <c r="KL58" s="131"/>
      <c r="KM58" s="131"/>
      <c r="KN58" s="131"/>
      <c r="KO58" s="131"/>
      <c r="KP58" s="131"/>
      <c r="KQ58" s="131"/>
      <c r="KR58" s="131"/>
      <c r="KS58" s="131"/>
      <c r="KT58" s="131"/>
      <c r="KU58" s="131"/>
      <c r="KV58" s="131"/>
      <c r="KW58" s="131"/>
      <c r="KX58" s="131"/>
      <c r="KY58" s="131"/>
      <c r="KZ58" s="131"/>
      <c r="LA58" s="131"/>
      <c r="LB58" s="131"/>
      <c r="LC58" s="131"/>
      <c r="LD58" s="131"/>
      <c r="LE58" s="131"/>
      <c r="LF58" s="131"/>
      <c r="LG58" s="131"/>
      <c r="LH58" s="131"/>
      <c r="LI58" s="131"/>
      <c r="LJ58" s="131"/>
      <c r="LK58" s="131"/>
      <c r="LL58" s="131"/>
      <c r="LM58" s="131"/>
      <c r="LN58" s="131"/>
      <c r="LO58" s="131"/>
      <c r="LP58" s="131"/>
      <c r="LQ58" s="131"/>
      <c r="LR58" s="131"/>
      <c r="LS58" s="131"/>
      <c r="LT58" s="131"/>
      <c r="LU58" s="131"/>
      <c r="LV58" s="131"/>
      <c r="LW58" s="131"/>
      <c r="LX58" s="131"/>
      <c r="LY58" s="131"/>
      <c r="LZ58" s="131"/>
      <c r="MA58" s="131"/>
      <c r="MB58" s="131"/>
      <c r="MC58" s="131"/>
      <c r="MD58" s="131"/>
      <c r="ME58" s="131"/>
      <c r="MF58" s="131"/>
      <c r="MG58" s="131"/>
      <c r="MH58" s="131"/>
      <c r="MI58" s="131"/>
      <c r="MJ58" s="131"/>
      <c r="MK58" s="131"/>
      <c r="ML58" s="131"/>
      <c r="MM58" s="131"/>
      <c r="MN58" s="131"/>
      <c r="MO58" s="131"/>
      <c r="MP58" s="131"/>
      <c r="MQ58" s="131"/>
      <c r="MR58" s="131"/>
      <c r="MS58" s="131"/>
      <c r="MT58" s="131"/>
      <c r="MU58" s="131"/>
      <c r="MV58" s="131"/>
      <c r="MW58" s="131"/>
      <c r="MX58" s="131"/>
      <c r="MY58" s="131"/>
      <c r="MZ58" s="131"/>
      <c r="NA58" s="131"/>
      <c r="NB58" s="131"/>
      <c r="NC58" s="131"/>
      <c r="ND58" s="131"/>
      <c r="NE58" s="131"/>
      <c r="NF58" s="131"/>
      <c r="NG58" s="131"/>
      <c r="NH58" s="131"/>
      <c r="NI58" s="131"/>
      <c r="NJ58" s="131"/>
      <c r="NK58" s="131"/>
      <c r="NL58" s="131"/>
      <c r="NM58" s="131"/>
      <c r="NN58" s="131"/>
      <c r="NO58" s="131"/>
      <c r="NP58" s="131"/>
      <c r="NQ58" s="131"/>
      <c r="NR58" s="131"/>
      <c r="NS58" s="131"/>
      <c r="NT58" s="131"/>
      <c r="NU58" s="131"/>
      <c r="NV58" s="131"/>
      <c r="NW58" s="131"/>
      <c r="NX58" s="131"/>
      <c r="NY58" s="131"/>
      <c r="NZ58" s="131"/>
      <c r="OA58" s="131"/>
      <c r="OB58" s="131"/>
      <c r="OC58" s="131"/>
      <c r="OD58" s="131"/>
      <c r="OE58" s="131"/>
      <c r="OF58" s="131"/>
      <c r="OG58" s="131"/>
      <c r="OH58" s="132"/>
    </row>
    <row r="59" spans="1:398" x14ac:dyDescent="0.35">
      <c r="A59" s="102"/>
      <c r="B59" s="168">
        <f t="shared" si="8"/>
        <v>31</v>
      </c>
      <c r="C59" s="171" t="s">
        <v>903</v>
      </c>
      <c r="D59" s="124" t="s">
        <v>751</v>
      </c>
      <c r="E59" s="124" t="s">
        <v>905</v>
      </c>
      <c r="F59" s="125" t="s">
        <v>907</v>
      </c>
      <c r="G59" s="125" t="s">
        <v>743</v>
      </c>
      <c r="H59" s="125"/>
      <c r="I59" s="129">
        <v>0</v>
      </c>
      <c r="J59" s="129">
        <v>0</v>
      </c>
      <c r="K59" s="129">
        <v>0</v>
      </c>
      <c r="L59" s="129">
        <v>0</v>
      </c>
      <c r="M59" s="129">
        <v>0</v>
      </c>
      <c r="N59" s="129">
        <v>0</v>
      </c>
      <c r="O59" s="130">
        <f t="shared" si="27"/>
        <v>0</v>
      </c>
      <c r="P59" s="129">
        <v>0</v>
      </c>
      <c r="Q59" s="129">
        <v>0</v>
      </c>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1"/>
      <c r="BF59" s="131"/>
      <c r="BG59" s="131"/>
      <c r="BH59" s="131"/>
      <c r="BI59" s="131"/>
      <c r="BJ59" s="131"/>
      <c r="BK59" s="131"/>
      <c r="BL59" s="131"/>
      <c r="BM59" s="131"/>
      <c r="BN59" s="131"/>
      <c r="BO59" s="131"/>
      <c r="BP59" s="131"/>
      <c r="BQ59" s="131"/>
      <c r="BR59" s="131"/>
      <c r="BS59" s="131"/>
      <c r="BT59" s="131"/>
      <c r="BU59" s="131"/>
      <c r="BV59" s="131"/>
      <c r="BW59" s="131"/>
      <c r="BX59" s="131"/>
      <c r="BY59" s="131"/>
      <c r="BZ59" s="131"/>
      <c r="CA59" s="131"/>
      <c r="CB59" s="131"/>
      <c r="CC59" s="131"/>
      <c r="CD59" s="131"/>
      <c r="CE59" s="131"/>
      <c r="CF59" s="131"/>
      <c r="CG59" s="131"/>
      <c r="CH59" s="131"/>
      <c r="CI59" s="131"/>
      <c r="CJ59" s="131"/>
      <c r="CK59" s="131"/>
      <c r="CL59" s="131"/>
      <c r="CM59" s="131"/>
      <c r="CN59" s="131"/>
      <c r="CO59" s="131"/>
      <c r="CP59" s="131"/>
      <c r="CQ59" s="131"/>
      <c r="CR59" s="131"/>
      <c r="CS59" s="131"/>
      <c r="CT59" s="131"/>
      <c r="CU59" s="131"/>
      <c r="CV59" s="131"/>
      <c r="CW59" s="131"/>
      <c r="CX59" s="131"/>
      <c r="CY59" s="131"/>
      <c r="CZ59" s="131"/>
      <c r="DA59" s="131"/>
      <c r="DB59" s="131"/>
      <c r="DC59" s="131"/>
      <c r="DD59" s="131"/>
      <c r="DE59" s="131"/>
      <c r="DF59" s="131"/>
      <c r="DG59" s="131"/>
      <c r="DH59" s="131"/>
      <c r="DI59" s="131"/>
      <c r="DJ59" s="131"/>
      <c r="DK59" s="131"/>
      <c r="DL59" s="131"/>
      <c r="DM59" s="131"/>
      <c r="DN59" s="131"/>
      <c r="DO59" s="131"/>
      <c r="DP59" s="131"/>
      <c r="DQ59" s="131"/>
      <c r="DR59" s="131"/>
      <c r="DS59" s="131"/>
      <c r="DT59" s="131"/>
      <c r="DU59" s="131"/>
      <c r="DV59" s="131"/>
      <c r="DW59" s="131"/>
      <c r="DX59" s="131"/>
      <c r="DY59" s="131"/>
      <c r="DZ59" s="131"/>
      <c r="EA59" s="131"/>
      <c r="EB59" s="131"/>
      <c r="EC59" s="131"/>
      <c r="ED59" s="131"/>
      <c r="EE59" s="131"/>
      <c r="EF59" s="131"/>
      <c r="EG59" s="131"/>
      <c r="EH59" s="131"/>
      <c r="EI59" s="131"/>
      <c r="EJ59" s="131"/>
      <c r="EK59" s="131"/>
      <c r="EL59" s="131"/>
      <c r="EM59" s="131"/>
      <c r="EN59" s="131"/>
      <c r="EO59" s="131"/>
      <c r="EP59" s="131"/>
      <c r="EQ59" s="131"/>
      <c r="ER59" s="131"/>
      <c r="ES59" s="131"/>
      <c r="ET59" s="131"/>
      <c r="EU59" s="131"/>
      <c r="EV59" s="131"/>
      <c r="EW59" s="131"/>
      <c r="EX59" s="131"/>
      <c r="EY59" s="131"/>
      <c r="EZ59" s="131"/>
      <c r="FA59" s="131"/>
      <c r="FB59" s="131"/>
      <c r="FC59" s="131"/>
      <c r="FD59" s="131"/>
      <c r="FE59" s="131"/>
      <c r="FF59" s="131"/>
      <c r="FG59" s="131"/>
      <c r="FH59" s="131"/>
      <c r="FI59" s="131"/>
      <c r="FJ59" s="131"/>
      <c r="FK59" s="131"/>
      <c r="FL59" s="131"/>
      <c r="FM59" s="131"/>
      <c r="FN59" s="131"/>
      <c r="FO59" s="131"/>
      <c r="FP59" s="131"/>
      <c r="FQ59" s="131"/>
      <c r="FR59" s="131"/>
      <c r="FS59" s="131"/>
      <c r="FT59" s="131"/>
      <c r="FU59" s="131"/>
      <c r="FV59" s="131"/>
      <c r="FW59" s="131"/>
      <c r="FX59" s="131"/>
      <c r="FY59" s="131"/>
      <c r="FZ59" s="131"/>
      <c r="GA59" s="131"/>
      <c r="GB59" s="131"/>
      <c r="GC59" s="131"/>
      <c r="GD59" s="131"/>
      <c r="GE59" s="131"/>
      <c r="GF59" s="131"/>
      <c r="GG59" s="131"/>
      <c r="GH59" s="131"/>
      <c r="GI59" s="131"/>
      <c r="GJ59" s="131"/>
      <c r="GK59" s="131"/>
      <c r="GL59" s="131"/>
      <c r="GM59" s="131"/>
      <c r="GN59" s="131"/>
      <c r="GO59" s="131"/>
      <c r="GP59" s="131"/>
      <c r="GQ59" s="131"/>
      <c r="GR59" s="131"/>
      <c r="GS59" s="131"/>
      <c r="GT59" s="131"/>
      <c r="GU59" s="131"/>
      <c r="GV59" s="131"/>
      <c r="GW59" s="131"/>
      <c r="GX59" s="131"/>
      <c r="GY59" s="131"/>
      <c r="GZ59" s="131"/>
      <c r="HA59" s="131"/>
      <c r="HB59" s="131"/>
      <c r="HC59" s="131"/>
      <c r="HD59" s="131"/>
      <c r="HE59" s="131"/>
      <c r="HF59" s="131"/>
      <c r="HG59" s="131"/>
      <c r="HH59" s="131"/>
      <c r="HI59" s="131"/>
      <c r="HJ59" s="131"/>
      <c r="HK59" s="131"/>
      <c r="HL59" s="131"/>
      <c r="HM59" s="131"/>
      <c r="HN59" s="131"/>
      <c r="HO59" s="131"/>
      <c r="HP59" s="131"/>
      <c r="HQ59" s="131"/>
      <c r="HR59" s="131"/>
      <c r="HS59" s="131"/>
      <c r="HT59" s="131"/>
      <c r="HU59" s="131"/>
      <c r="HV59" s="131"/>
      <c r="HW59" s="131"/>
      <c r="HX59" s="131"/>
      <c r="HY59" s="131"/>
      <c r="HZ59" s="131"/>
      <c r="IA59" s="131"/>
      <c r="IB59" s="131"/>
      <c r="IC59" s="131"/>
      <c r="ID59" s="131"/>
      <c r="IE59" s="131"/>
      <c r="IF59" s="131"/>
      <c r="IG59" s="131"/>
      <c r="IH59" s="131"/>
      <c r="II59" s="131"/>
      <c r="IJ59" s="131"/>
      <c r="IK59" s="131"/>
      <c r="IL59" s="131"/>
      <c r="IM59" s="131"/>
      <c r="IN59" s="131"/>
      <c r="IO59" s="131"/>
      <c r="IP59" s="131"/>
      <c r="IQ59" s="131"/>
      <c r="IR59" s="131"/>
      <c r="IS59" s="131"/>
      <c r="IT59" s="131"/>
      <c r="IU59" s="131"/>
      <c r="IV59" s="131"/>
      <c r="IW59" s="131"/>
      <c r="IX59" s="131"/>
      <c r="IY59" s="131"/>
      <c r="IZ59" s="131"/>
      <c r="JA59" s="131"/>
      <c r="JB59" s="131"/>
      <c r="JC59" s="131"/>
      <c r="JD59" s="131"/>
      <c r="JE59" s="131"/>
      <c r="JF59" s="131"/>
      <c r="JG59" s="131"/>
      <c r="JH59" s="131"/>
      <c r="JI59" s="131"/>
      <c r="JJ59" s="131"/>
      <c r="JK59" s="131"/>
      <c r="JL59" s="131"/>
      <c r="JM59" s="131"/>
      <c r="JN59" s="131"/>
      <c r="JO59" s="131"/>
      <c r="JP59" s="131"/>
      <c r="JQ59" s="131"/>
      <c r="JR59" s="131"/>
      <c r="JS59" s="131"/>
      <c r="JT59" s="131"/>
      <c r="JU59" s="131"/>
      <c r="JV59" s="131"/>
      <c r="JW59" s="131"/>
      <c r="JX59" s="131"/>
      <c r="JY59" s="131"/>
      <c r="JZ59" s="131"/>
      <c r="KA59" s="131"/>
      <c r="KB59" s="131"/>
      <c r="KC59" s="131"/>
      <c r="KD59" s="131"/>
      <c r="KE59" s="131"/>
      <c r="KF59" s="131"/>
      <c r="KG59" s="131"/>
      <c r="KH59" s="131"/>
      <c r="KI59" s="131"/>
      <c r="KJ59" s="131"/>
      <c r="KK59" s="131"/>
      <c r="KL59" s="131"/>
      <c r="KM59" s="131"/>
      <c r="KN59" s="131"/>
      <c r="KO59" s="131"/>
      <c r="KP59" s="131"/>
      <c r="KQ59" s="131"/>
      <c r="KR59" s="131"/>
      <c r="KS59" s="131"/>
      <c r="KT59" s="131"/>
      <c r="KU59" s="131"/>
      <c r="KV59" s="131"/>
      <c r="KW59" s="131"/>
      <c r="KX59" s="131"/>
      <c r="KY59" s="131"/>
      <c r="KZ59" s="131"/>
      <c r="LA59" s="131"/>
      <c r="LB59" s="131"/>
      <c r="LC59" s="131"/>
      <c r="LD59" s="131"/>
      <c r="LE59" s="131"/>
      <c r="LF59" s="131"/>
      <c r="LG59" s="131"/>
      <c r="LH59" s="131"/>
      <c r="LI59" s="131"/>
      <c r="LJ59" s="131"/>
      <c r="LK59" s="131"/>
      <c r="LL59" s="131"/>
      <c r="LM59" s="131"/>
      <c r="LN59" s="131"/>
      <c r="LO59" s="131"/>
      <c r="LP59" s="131"/>
      <c r="LQ59" s="131"/>
      <c r="LR59" s="131"/>
      <c r="LS59" s="131"/>
      <c r="LT59" s="131"/>
      <c r="LU59" s="131"/>
      <c r="LV59" s="131"/>
      <c r="LW59" s="131"/>
      <c r="LX59" s="131"/>
      <c r="LY59" s="131"/>
      <c r="LZ59" s="131"/>
      <c r="MA59" s="131"/>
      <c r="MB59" s="131"/>
      <c r="MC59" s="131"/>
      <c r="MD59" s="131"/>
      <c r="ME59" s="131"/>
      <c r="MF59" s="131"/>
      <c r="MG59" s="131"/>
      <c r="MH59" s="131"/>
      <c r="MI59" s="131"/>
      <c r="MJ59" s="131"/>
      <c r="MK59" s="131"/>
      <c r="ML59" s="131"/>
      <c r="MM59" s="131"/>
      <c r="MN59" s="131"/>
      <c r="MO59" s="131"/>
      <c r="MP59" s="131"/>
      <c r="MQ59" s="131"/>
      <c r="MR59" s="131"/>
      <c r="MS59" s="131"/>
      <c r="MT59" s="131"/>
      <c r="MU59" s="131"/>
      <c r="MV59" s="131"/>
      <c r="MW59" s="131"/>
      <c r="MX59" s="131"/>
      <c r="MY59" s="131"/>
      <c r="MZ59" s="131"/>
      <c r="NA59" s="131"/>
      <c r="NB59" s="131"/>
      <c r="NC59" s="131"/>
      <c r="ND59" s="131"/>
      <c r="NE59" s="131"/>
      <c r="NF59" s="131"/>
      <c r="NG59" s="131"/>
      <c r="NH59" s="131"/>
      <c r="NI59" s="131"/>
      <c r="NJ59" s="131"/>
      <c r="NK59" s="131"/>
      <c r="NL59" s="131"/>
      <c r="NM59" s="131"/>
      <c r="NN59" s="131"/>
      <c r="NO59" s="131"/>
      <c r="NP59" s="131"/>
      <c r="NQ59" s="131"/>
      <c r="NR59" s="131"/>
      <c r="NS59" s="131"/>
      <c r="NT59" s="131"/>
      <c r="NU59" s="131"/>
      <c r="NV59" s="131"/>
      <c r="NW59" s="131"/>
      <c r="NX59" s="131"/>
      <c r="NY59" s="131"/>
      <c r="NZ59" s="131"/>
      <c r="OA59" s="131"/>
      <c r="OB59" s="131"/>
      <c r="OC59" s="131"/>
      <c r="OD59" s="131"/>
      <c r="OE59" s="131"/>
      <c r="OF59" s="131"/>
      <c r="OG59" s="131"/>
      <c r="OH59" s="132"/>
    </row>
    <row r="60" spans="1:398" x14ac:dyDescent="0.35">
      <c r="A60" s="102"/>
      <c r="B60" s="168">
        <f t="shared" si="8"/>
        <v>32</v>
      </c>
      <c r="C60" s="171" t="s">
        <v>903</v>
      </c>
      <c r="D60" s="124" t="s">
        <v>751</v>
      </c>
      <c r="E60" s="124" t="s">
        <v>905</v>
      </c>
      <c r="F60" s="125" t="s">
        <v>907</v>
      </c>
      <c r="G60" s="125" t="s">
        <v>202</v>
      </c>
      <c r="H60" s="125"/>
      <c r="I60" s="129">
        <v>0</v>
      </c>
      <c r="J60" s="129">
        <v>0</v>
      </c>
      <c r="K60" s="129">
        <v>0</v>
      </c>
      <c r="L60" s="129">
        <v>0</v>
      </c>
      <c r="M60" s="129">
        <v>0</v>
      </c>
      <c r="N60" s="129">
        <v>0</v>
      </c>
      <c r="O60" s="130">
        <f t="shared" si="27"/>
        <v>0</v>
      </c>
      <c r="P60" s="129">
        <v>0</v>
      </c>
      <c r="Q60" s="129">
        <v>0</v>
      </c>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1"/>
      <c r="BQ60" s="131"/>
      <c r="BR60" s="131"/>
      <c r="BS60" s="131"/>
      <c r="BT60" s="131"/>
      <c r="BU60" s="131"/>
      <c r="BV60" s="131"/>
      <c r="BW60" s="131"/>
      <c r="BX60" s="131"/>
      <c r="BY60" s="131"/>
      <c r="BZ60" s="131"/>
      <c r="CA60" s="131"/>
      <c r="CB60" s="131"/>
      <c r="CC60" s="131"/>
      <c r="CD60" s="131"/>
      <c r="CE60" s="131"/>
      <c r="CF60" s="131"/>
      <c r="CG60" s="131"/>
      <c r="CH60" s="131"/>
      <c r="CI60" s="131"/>
      <c r="CJ60" s="131"/>
      <c r="CK60" s="131"/>
      <c r="CL60" s="131"/>
      <c r="CM60" s="131"/>
      <c r="CN60" s="131"/>
      <c r="CO60" s="131"/>
      <c r="CP60" s="131"/>
      <c r="CQ60" s="131"/>
      <c r="CR60" s="131"/>
      <c r="CS60" s="131"/>
      <c r="CT60" s="131"/>
      <c r="CU60" s="131"/>
      <c r="CV60" s="131"/>
      <c r="CW60" s="131"/>
      <c r="CX60" s="131"/>
      <c r="CY60" s="131"/>
      <c r="CZ60" s="131"/>
      <c r="DA60" s="131"/>
      <c r="DB60" s="131"/>
      <c r="DC60" s="131"/>
      <c r="DD60" s="131"/>
      <c r="DE60" s="131"/>
      <c r="DF60" s="131"/>
      <c r="DG60" s="131"/>
      <c r="DH60" s="131"/>
      <c r="DI60" s="131"/>
      <c r="DJ60" s="131"/>
      <c r="DK60" s="131"/>
      <c r="DL60" s="131"/>
      <c r="DM60" s="131"/>
      <c r="DN60" s="131"/>
      <c r="DO60" s="131"/>
      <c r="DP60" s="131"/>
      <c r="DQ60" s="131"/>
      <c r="DR60" s="131"/>
      <c r="DS60" s="131"/>
      <c r="DT60" s="131"/>
      <c r="DU60" s="131"/>
      <c r="DV60" s="131"/>
      <c r="DW60" s="131"/>
      <c r="DX60" s="131"/>
      <c r="DY60" s="131"/>
      <c r="DZ60" s="131"/>
      <c r="EA60" s="131"/>
      <c r="EB60" s="131"/>
      <c r="EC60" s="131"/>
      <c r="ED60" s="131"/>
      <c r="EE60" s="131"/>
      <c r="EF60" s="131"/>
      <c r="EG60" s="131"/>
      <c r="EH60" s="131"/>
      <c r="EI60" s="131"/>
      <c r="EJ60" s="131"/>
      <c r="EK60" s="131"/>
      <c r="EL60" s="131"/>
      <c r="EM60" s="131"/>
      <c r="EN60" s="131"/>
      <c r="EO60" s="131"/>
      <c r="EP60" s="131"/>
      <c r="EQ60" s="131"/>
      <c r="ER60" s="131"/>
      <c r="ES60" s="131"/>
      <c r="ET60" s="131"/>
      <c r="EU60" s="131"/>
      <c r="EV60" s="131"/>
      <c r="EW60" s="131"/>
      <c r="EX60" s="131"/>
      <c r="EY60" s="131"/>
      <c r="EZ60" s="131"/>
      <c r="FA60" s="131"/>
      <c r="FB60" s="131"/>
      <c r="FC60" s="131"/>
      <c r="FD60" s="131"/>
      <c r="FE60" s="131"/>
      <c r="FF60" s="131"/>
      <c r="FG60" s="131"/>
      <c r="FH60" s="131"/>
      <c r="FI60" s="131"/>
      <c r="FJ60" s="131"/>
      <c r="FK60" s="131"/>
      <c r="FL60" s="131"/>
      <c r="FM60" s="131"/>
      <c r="FN60" s="131"/>
      <c r="FO60" s="131"/>
      <c r="FP60" s="131"/>
      <c r="FQ60" s="131"/>
      <c r="FR60" s="131"/>
      <c r="FS60" s="131"/>
      <c r="FT60" s="131"/>
      <c r="FU60" s="131"/>
      <c r="FV60" s="131"/>
      <c r="FW60" s="131"/>
      <c r="FX60" s="131"/>
      <c r="FY60" s="131"/>
      <c r="FZ60" s="131"/>
      <c r="GA60" s="131"/>
      <c r="GB60" s="131"/>
      <c r="GC60" s="131"/>
      <c r="GD60" s="131"/>
      <c r="GE60" s="131"/>
      <c r="GF60" s="131"/>
      <c r="GG60" s="131"/>
      <c r="GH60" s="131"/>
      <c r="GI60" s="131"/>
      <c r="GJ60" s="131"/>
      <c r="GK60" s="131"/>
      <c r="GL60" s="131"/>
      <c r="GM60" s="131"/>
      <c r="GN60" s="131"/>
      <c r="GO60" s="131"/>
      <c r="GP60" s="131"/>
      <c r="GQ60" s="131"/>
      <c r="GR60" s="131"/>
      <c r="GS60" s="131"/>
      <c r="GT60" s="131"/>
      <c r="GU60" s="131"/>
      <c r="GV60" s="131"/>
      <c r="GW60" s="131"/>
      <c r="GX60" s="131"/>
      <c r="GY60" s="131"/>
      <c r="GZ60" s="131"/>
      <c r="HA60" s="131"/>
      <c r="HB60" s="131"/>
      <c r="HC60" s="131"/>
      <c r="HD60" s="131"/>
      <c r="HE60" s="131"/>
      <c r="HF60" s="131"/>
      <c r="HG60" s="131"/>
      <c r="HH60" s="131"/>
      <c r="HI60" s="131"/>
      <c r="HJ60" s="131"/>
      <c r="HK60" s="131"/>
      <c r="HL60" s="131"/>
      <c r="HM60" s="131"/>
      <c r="HN60" s="131"/>
      <c r="HO60" s="131"/>
      <c r="HP60" s="131"/>
      <c r="HQ60" s="131"/>
      <c r="HR60" s="131"/>
      <c r="HS60" s="131"/>
      <c r="HT60" s="131"/>
      <c r="HU60" s="131"/>
      <c r="HV60" s="131"/>
      <c r="HW60" s="131"/>
      <c r="HX60" s="131"/>
      <c r="HY60" s="131"/>
      <c r="HZ60" s="131"/>
      <c r="IA60" s="131"/>
      <c r="IB60" s="131"/>
      <c r="IC60" s="131"/>
      <c r="ID60" s="131"/>
      <c r="IE60" s="131"/>
      <c r="IF60" s="131"/>
      <c r="IG60" s="131"/>
      <c r="IH60" s="131"/>
      <c r="II60" s="131"/>
      <c r="IJ60" s="131"/>
      <c r="IK60" s="131"/>
      <c r="IL60" s="131"/>
      <c r="IM60" s="131"/>
      <c r="IN60" s="131"/>
      <c r="IO60" s="131"/>
      <c r="IP60" s="131"/>
      <c r="IQ60" s="131"/>
      <c r="IR60" s="131"/>
      <c r="IS60" s="131"/>
      <c r="IT60" s="131"/>
      <c r="IU60" s="131"/>
      <c r="IV60" s="131"/>
      <c r="IW60" s="131"/>
      <c r="IX60" s="131"/>
      <c r="IY60" s="131"/>
      <c r="IZ60" s="131"/>
      <c r="JA60" s="131"/>
      <c r="JB60" s="131"/>
      <c r="JC60" s="131"/>
      <c r="JD60" s="131"/>
      <c r="JE60" s="131"/>
      <c r="JF60" s="131"/>
      <c r="JG60" s="131"/>
      <c r="JH60" s="131"/>
      <c r="JI60" s="131"/>
      <c r="JJ60" s="131"/>
      <c r="JK60" s="131"/>
      <c r="JL60" s="131"/>
      <c r="JM60" s="131"/>
      <c r="JN60" s="131"/>
      <c r="JO60" s="131"/>
      <c r="JP60" s="131"/>
      <c r="JQ60" s="131"/>
      <c r="JR60" s="131"/>
      <c r="JS60" s="131"/>
      <c r="JT60" s="131"/>
      <c r="JU60" s="131"/>
      <c r="JV60" s="131"/>
      <c r="JW60" s="131"/>
      <c r="JX60" s="131"/>
      <c r="JY60" s="131"/>
      <c r="JZ60" s="131"/>
      <c r="KA60" s="131"/>
      <c r="KB60" s="131"/>
      <c r="KC60" s="131"/>
      <c r="KD60" s="131"/>
      <c r="KE60" s="131"/>
      <c r="KF60" s="131"/>
      <c r="KG60" s="131"/>
      <c r="KH60" s="131"/>
      <c r="KI60" s="131"/>
      <c r="KJ60" s="131"/>
      <c r="KK60" s="131"/>
      <c r="KL60" s="131"/>
      <c r="KM60" s="131"/>
      <c r="KN60" s="131"/>
      <c r="KO60" s="131"/>
      <c r="KP60" s="131"/>
      <c r="KQ60" s="131"/>
      <c r="KR60" s="131"/>
      <c r="KS60" s="131"/>
      <c r="KT60" s="131"/>
      <c r="KU60" s="131"/>
      <c r="KV60" s="131"/>
      <c r="KW60" s="131"/>
      <c r="KX60" s="131"/>
      <c r="KY60" s="131"/>
      <c r="KZ60" s="131"/>
      <c r="LA60" s="131"/>
      <c r="LB60" s="131"/>
      <c r="LC60" s="131"/>
      <c r="LD60" s="131"/>
      <c r="LE60" s="131"/>
      <c r="LF60" s="131"/>
      <c r="LG60" s="131"/>
      <c r="LH60" s="131"/>
      <c r="LI60" s="131"/>
      <c r="LJ60" s="131"/>
      <c r="LK60" s="131"/>
      <c r="LL60" s="131"/>
      <c r="LM60" s="131"/>
      <c r="LN60" s="131"/>
      <c r="LO60" s="131"/>
      <c r="LP60" s="131"/>
      <c r="LQ60" s="131"/>
      <c r="LR60" s="131"/>
      <c r="LS60" s="131"/>
      <c r="LT60" s="131"/>
      <c r="LU60" s="131"/>
      <c r="LV60" s="131"/>
      <c r="LW60" s="131"/>
      <c r="LX60" s="131"/>
      <c r="LY60" s="131"/>
      <c r="LZ60" s="131"/>
      <c r="MA60" s="131"/>
      <c r="MB60" s="131"/>
      <c r="MC60" s="131"/>
      <c r="MD60" s="131"/>
      <c r="ME60" s="131"/>
      <c r="MF60" s="131"/>
      <c r="MG60" s="131"/>
      <c r="MH60" s="131"/>
      <c r="MI60" s="131"/>
      <c r="MJ60" s="131"/>
      <c r="MK60" s="131"/>
      <c r="ML60" s="131"/>
      <c r="MM60" s="131"/>
      <c r="MN60" s="131"/>
      <c r="MO60" s="131"/>
      <c r="MP60" s="131"/>
      <c r="MQ60" s="131"/>
      <c r="MR60" s="131"/>
      <c r="MS60" s="131"/>
      <c r="MT60" s="131"/>
      <c r="MU60" s="131"/>
      <c r="MV60" s="131"/>
      <c r="MW60" s="131"/>
      <c r="MX60" s="131"/>
      <c r="MY60" s="131"/>
      <c r="MZ60" s="131"/>
      <c r="NA60" s="131"/>
      <c r="NB60" s="131"/>
      <c r="NC60" s="131"/>
      <c r="ND60" s="131"/>
      <c r="NE60" s="131"/>
      <c r="NF60" s="131"/>
      <c r="NG60" s="131"/>
      <c r="NH60" s="131"/>
      <c r="NI60" s="131"/>
      <c r="NJ60" s="131"/>
      <c r="NK60" s="131"/>
      <c r="NL60" s="131"/>
      <c r="NM60" s="131"/>
      <c r="NN60" s="131"/>
      <c r="NO60" s="131"/>
      <c r="NP60" s="131"/>
      <c r="NQ60" s="131"/>
      <c r="NR60" s="131"/>
      <c r="NS60" s="131"/>
      <c r="NT60" s="131"/>
      <c r="NU60" s="131"/>
      <c r="NV60" s="131"/>
      <c r="NW60" s="131"/>
      <c r="NX60" s="131"/>
      <c r="NY60" s="131"/>
      <c r="NZ60" s="131"/>
      <c r="OA60" s="131"/>
      <c r="OB60" s="131"/>
      <c r="OC60" s="131"/>
      <c r="OD60" s="131"/>
      <c r="OE60" s="131"/>
      <c r="OF60" s="131"/>
      <c r="OG60" s="131"/>
      <c r="OH60" s="132"/>
    </row>
    <row r="61" spans="1:398" x14ac:dyDescent="0.35">
      <c r="A61" s="102"/>
      <c r="B61" s="168">
        <f t="shared" si="8"/>
        <v>33</v>
      </c>
      <c r="C61" s="171" t="s">
        <v>903</v>
      </c>
      <c r="D61" s="124" t="s">
        <v>751</v>
      </c>
      <c r="E61" s="124" t="s">
        <v>905</v>
      </c>
      <c r="F61" s="125" t="s">
        <v>907</v>
      </c>
      <c r="G61" s="125" t="s">
        <v>738</v>
      </c>
      <c r="H61" s="125"/>
      <c r="I61" s="136">
        <f t="shared" ref="I61:Q61" si="28">SUM(I55:I60)</f>
        <v>0</v>
      </c>
      <c r="J61" s="136">
        <f t="shared" si="28"/>
        <v>0</v>
      </c>
      <c r="K61" s="137">
        <f t="shared" si="28"/>
        <v>0</v>
      </c>
      <c r="L61" s="137">
        <f t="shared" si="28"/>
        <v>0</v>
      </c>
      <c r="M61" s="137">
        <f t="shared" si="28"/>
        <v>0</v>
      </c>
      <c r="N61" s="137">
        <f t="shared" si="28"/>
        <v>0</v>
      </c>
      <c r="O61" s="137">
        <f t="shared" si="28"/>
        <v>0</v>
      </c>
      <c r="P61" s="137">
        <f t="shared" si="28"/>
        <v>0</v>
      </c>
      <c r="Q61" s="137">
        <f t="shared" si="28"/>
        <v>0</v>
      </c>
      <c r="R61" s="138"/>
      <c r="S61" s="138"/>
      <c r="T61" s="131"/>
      <c r="U61" s="131"/>
      <c r="V61" s="131"/>
      <c r="W61" s="131"/>
      <c r="X61" s="131"/>
      <c r="Y61" s="131"/>
      <c r="Z61" s="131"/>
      <c r="AA61" s="131"/>
      <c r="AB61" s="131"/>
      <c r="AC61" s="131"/>
      <c r="AD61" s="131"/>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c r="BM61" s="131"/>
      <c r="BN61" s="131"/>
      <c r="BO61" s="131"/>
      <c r="BP61" s="131"/>
      <c r="BQ61" s="131"/>
      <c r="BR61" s="131"/>
      <c r="BS61" s="131"/>
      <c r="BT61" s="131"/>
      <c r="BU61" s="131"/>
      <c r="BV61" s="131"/>
      <c r="BW61" s="131"/>
      <c r="BX61" s="131"/>
      <c r="BY61" s="131"/>
      <c r="BZ61" s="131"/>
      <c r="CA61" s="131"/>
      <c r="CB61" s="131"/>
      <c r="CC61" s="131"/>
      <c r="CD61" s="131"/>
      <c r="CE61" s="131"/>
      <c r="CF61" s="131"/>
      <c r="CG61" s="131"/>
      <c r="CH61" s="131"/>
      <c r="CI61" s="131"/>
      <c r="CJ61" s="131"/>
      <c r="CK61" s="131"/>
      <c r="CL61" s="131"/>
      <c r="CM61" s="131"/>
      <c r="CN61" s="131"/>
      <c r="CO61" s="131"/>
      <c r="CP61" s="131"/>
      <c r="CQ61" s="131"/>
      <c r="CR61" s="131"/>
      <c r="CS61" s="131"/>
      <c r="CT61" s="131"/>
      <c r="CU61" s="131"/>
      <c r="CV61" s="131"/>
      <c r="CW61" s="131"/>
      <c r="CX61" s="131"/>
      <c r="CY61" s="131"/>
      <c r="CZ61" s="131"/>
      <c r="DA61" s="131"/>
      <c r="DB61" s="131"/>
      <c r="DC61" s="131"/>
      <c r="DD61" s="131"/>
      <c r="DE61" s="131"/>
      <c r="DF61" s="131"/>
      <c r="DG61" s="131"/>
      <c r="DH61" s="131"/>
      <c r="DI61" s="131"/>
      <c r="DJ61" s="131"/>
      <c r="DK61" s="131"/>
      <c r="DL61" s="131"/>
      <c r="DM61" s="131"/>
      <c r="DN61" s="131"/>
      <c r="DO61" s="131"/>
      <c r="DP61" s="131"/>
      <c r="DQ61" s="131"/>
      <c r="DR61" s="131"/>
      <c r="DS61" s="131"/>
      <c r="DT61" s="131"/>
      <c r="DU61" s="131"/>
      <c r="DV61" s="131"/>
      <c r="DW61" s="131"/>
      <c r="DX61" s="131"/>
      <c r="DY61" s="131"/>
      <c r="DZ61" s="131"/>
      <c r="EA61" s="131"/>
      <c r="EB61" s="131"/>
      <c r="EC61" s="131"/>
      <c r="ED61" s="131"/>
      <c r="EE61" s="131"/>
      <c r="EF61" s="131"/>
      <c r="EG61" s="131"/>
      <c r="EH61" s="131"/>
      <c r="EI61" s="131"/>
      <c r="EJ61" s="131"/>
      <c r="EK61" s="131"/>
      <c r="EL61" s="131"/>
      <c r="EM61" s="131"/>
      <c r="EN61" s="131"/>
      <c r="EO61" s="131"/>
      <c r="EP61" s="131"/>
      <c r="EQ61" s="131"/>
      <c r="ER61" s="131"/>
      <c r="ES61" s="131"/>
      <c r="ET61" s="131"/>
      <c r="EU61" s="131"/>
      <c r="EV61" s="131"/>
      <c r="EW61" s="131"/>
      <c r="EX61" s="131"/>
      <c r="EY61" s="131"/>
      <c r="EZ61" s="131"/>
      <c r="FA61" s="131"/>
      <c r="FB61" s="131"/>
      <c r="FC61" s="131"/>
      <c r="FD61" s="131"/>
      <c r="FE61" s="131"/>
      <c r="FF61" s="131"/>
      <c r="FG61" s="131"/>
      <c r="FH61" s="131"/>
      <c r="FI61" s="131"/>
      <c r="FJ61" s="131"/>
      <c r="FK61" s="131"/>
      <c r="FL61" s="131"/>
      <c r="FM61" s="131"/>
      <c r="FN61" s="131"/>
      <c r="FO61" s="131"/>
      <c r="FP61" s="131"/>
      <c r="FQ61" s="131"/>
      <c r="FR61" s="131"/>
      <c r="FS61" s="131"/>
      <c r="FT61" s="131"/>
      <c r="FU61" s="131"/>
      <c r="FV61" s="131"/>
      <c r="FW61" s="131"/>
      <c r="FX61" s="131"/>
      <c r="FY61" s="131"/>
      <c r="FZ61" s="131"/>
      <c r="GA61" s="131"/>
      <c r="GB61" s="131"/>
      <c r="GC61" s="131"/>
      <c r="GD61" s="131"/>
      <c r="GE61" s="131"/>
      <c r="GF61" s="131"/>
      <c r="GG61" s="131"/>
      <c r="GH61" s="131"/>
      <c r="GI61" s="131"/>
      <c r="GJ61" s="131"/>
      <c r="GK61" s="131"/>
      <c r="GL61" s="131"/>
      <c r="GM61" s="131"/>
      <c r="GN61" s="131"/>
      <c r="GO61" s="131"/>
      <c r="GP61" s="131"/>
      <c r="GQ61" s="131"/>
      <c r="GR61" s="131"/>
      <c r="GS61" s="131"/>
      <c r="GT61" s="131"/>
      <c r="GU61" s="131"/>
      <c r="GV61" s="131"/>
      <c r="GW61" s="131"/>
      <c r="GX61" s="131"/>
      <c r="GY61" s="131"/>
      <c r="GZ61" s="131"/>
      <c r="HA61" s="131"/>
      <c r="HB61" s="131"/>
      <c r="HC61" s="131"/>
      <c r="HD61" s="131"/>
      <c r="HE61" s="131"/>
      <c r="HF61" s="131"/>
      <c r="HG61" s="131"/>
      <c r="HH61" s="131"/>
      <c r="HI61" s="131"/>
      <c r="HJ61" s="131"/>
      <c r="HK61" s="131"/>
      <c r="HL61" s="131"/>
      <c r="HM61" s="131"/>
      <c r="HN61" s="131"/>
      <c r="HO61" s="131"/>
      <c r="HP61" s="131"/>
      <c r="HQ61" s="131"/>
      <c r="HR61" s="131"/>
      <c r="HS61" s="131"/>
      <c r="HT61" s="131"/>
      <c r="HU61" s="131"/>
      <c r="HV61" s="131"/>
      <c r="HW61" s="131"/>
      <c r="HX61" s="131"/>
      <c r="HY61" s="131"/>
      <c r="HZ61" s="131"/>
      <c r="IA61" s="131"/>
      <c r="IB61" s="131"/>
      <c r="IC61" s="131"/>
      <c r="ID61" s="131"/>
      <c r="IE61" s="131"/>
      <c r="IF61" s="131"/>
      <c r="IG61" s="131"/>
      <c r="IH61" s="131"/>
      <c r="II61" s="131"/>
      <c r="IJ61" s="131"/>
      <c r="IK61" s="131"/>
      <c r="IL61" s="131"/>
      <c r="IM61" s="131"/>
      <c r="IN61" s="131"/>
      <c r="IO61" s="131"/>
      <c r="IP61" s="131"/>
      <c r="IQ61" s="131"/>
      <c r="IR61" s="131"/>
      <c r="IS61" s="131"/>
      <c r="IT61" s="131"/>
      <c r="IU61" s="131"/>
      <c r="IV61" s="131"/>
      <c r="IW61" s="131"/>
      <c r="IX61" s="131"/>
      <c r="IY61" s="131"/>
      <c r="IZ61" s="131"/>
      <c r="JA61" s="131"/>
      <c r="JB61" s="131"/>
      <c r="JC61" s="131"/>
      <c r="JD61" s="131"/>
      <c r="JE61" s="131"/>
      <c r="JF61" s="131"/>
      <c r="JG61" s="131"/>
      <c r="JH61" s="131"/>
      <c r="JI61" s="131"/>
      <c r="JJ61" s="131"/>
      <c r="JK61" s="131"/>
      <c r="JL61" s="131"/>
      <c r="JM61" s="131"/>
      <c r="JN61" s="131"/>
      <c r="JO61" s="131"/>
      <c r="JP61" s="131"/>
      <c r="JQ61" s="131"/>
      <c r="JR61" s="131"/>
      <c r="JS61" s="131"/>
      <c r="JT61" s="131"/>
      <c r="JU61" s="131"/>
      <c r="JV61" s="131"/>
      <c r="JW61" s="131"/>
      <c r="JX61" s="131"/>
      <c r="JY61" s="131"/>
      <c r="JZ61" s="131"/>
      <c r="KA61" s="131"/>
      <c r="KB61" s="131"/>
      <c r="KC61" s="131"/>
      <c r="KD61" s="131"/>
      <c r="KE61" s="131"/>
      <c r="KF61" s="131"/>
      <c r="KG61" s="131"/>
      <c r="KH61" s="131"/>
      <c r="KI61" s="131"/>
      <c r="KJ61" s="131"/>
      <c r="KK61" s="131"/>
      <c r="KL61" s="131"/>
      <c r="KM61" s="131"/>
      <c r="KN61" s="131"/>
      <c r="KO61" s="131"/>
      <c r="KP61" s="131"/>
      <c r="KQ61" s="131"/>
      <c r="KR61" s="131"/>
      <c r="KS61" s="131"/>
      <c r="KT61" s="131"/>
      <c r="KU61" s="131"/>
      <c r="KV61" s="131"/>
      <c r="KW61" s="131"/>
      <c r="KX61" s="131"/>
      <c r="KY61" s="131"/>
      <c r="KZ61" s="131"/>
      <c r="LA61" s="131"/>
      <c r="LB61" s="131"/>
      <c r="LC61" s="131"/>
      <c r="LD61" s="131"/>
      <c r="LE61" s="131"/>
      <c r="LF61" s="131"/>
      <c r="LG61" s="131"/>
      <c r="LH61" s="131"/>
      <c r="LI61" s="131"/>
      <c r="LJ61" s="131"/>
      <c r="LK61" s="131"/>
      <c r="LL61" s="131"/>
      <c r="LM61" s="131"/>
      <c r="LN61" s="131"/>
      <c r="LO61" s="131"/>
      <c r="LP61" s="131"/>
      <c r="LQ61" s="131"/>
      <c r="LR61" s="131"/>
      <c r="LS61" s="131"/>
      <c r="LT61" s="131"/>
      <c r="LU61" s="131"/>
      <c r="LV61" s="131"/>
      <c r="LW61" s="131"/>
      <c r="LX61" s="131"/>
      <c r="LY61" s="131"/>
      <c r="LZ61" s="131"/>
      <c r="MA61" s="131"/>
      <c r="MB61" s="131"/>
      <c r="MC61" s="131"/>
      <c r="MD61" s="131"/>
      <c r="ME61" s="131"/>
      <c r="MF61" s="131"/>
      <c r="MG61" s="131"/>
      <c r="MH61" s="131"/>
      <c r="MI61" s="131"/>
      <c r="MJ61" s="131"/>
      <c r="MK61" s="131"/>
      <c r="ML61" s="131"/>
      <c r="MM61" s="131"/>
      <c r="MN61" s="131"/>
      <c r="MO61" s="131"/>
      <c r="MP61" s="131"/>
      <c r="MQ61" s="131"/>
      <c r="MR61" s="131"/>
      <c r="MS61" s="131"/>
      <c r="MT61" s="131"/>
      <c r="MU61" s="131"/>
      <c r="MV61" s="131"/>
      <c r="MW61" s="131"/>
      <c r="MX61" s="131"/>
      <c r="MY61" s="131"/>
      <c r="MZ61" s="131"/>
      <c r="NA61" s="131"/>
      <c r="NB61" s="131"/>
      <c r="NC61" s="131"/>
      <c r="ND61" s="131"/>
      <c r="NE61" s="131"/>
      <c r="NF61" s="131"/>
      <c r="NG61" s="131"/>
      <c r="NH61" s="131"/>
      <c r="NI61" s="131"/>
      <c r="NJ61" s="131"/>
      <c r="NK61" s="131"/>
      <c r="NL61" s="131"/>
      <c r="NM61" s="131"/>
      <c r="NN61" s="131"/>
      <c r="NO61" s="131"/>
      <c r="NP61" s="131"/>
      <c r="NQ61" s="131"/>
      <c r="NR61" s="131"/>
      <c r="NS61" s="131"/>
      <c r="NT61" s="131"/>
      <c r="NU61" s="131"/>
      <c r="NV61" s="131"/>
      <c r="NW61" s="131"/>
      <c r="NX61" s="131"/>
      <c r="NY61" s="131"/>
      <c r="NZ61" s="131"/>
      <c r="OA61" s="131"/>
      <c r="OB61" s="131"/>
      <c r="OC61" s="131"/>
      <c r="OD61" s="131"/>
      <c r="OE61" s="131"/>
      <c r="OF61" s="131"/>
      <c r="OG61" s="131"/>
      <c r="OH61" s="132"/>
    </row>
    <row r="62" spans="1:398" x14ac:dyDescent="0.35">
      <c r="A62" s="102"/>
      <c r="B62" s="168">
        <f t="shared" si="8"/>
        <v>34</v>
      </c>
      <c r="C62" s="171" t="s">
        <v>903</v>
      </c>
      <c r="D62" s="124" t="s">
        <v>751</v>
      </c>
      <c r="E62" s="124" t="s">
        <v>905</v>
      </c>
      <c r="F62" s="125" t="s">
        <v>738</v>
      </c>
      <c r="G62" s="125" t="s">
        <v>738</v>
      </c>
      <c r="H62" s="125" t="s">
        <v>908</v>
      </c>
      <c r="I62" s="130">
        <f>SUM(I54,I61)</f>
        <v>0</v>
      </c>
      <c r="J62" s="130">
        <f>SUM(J54,J61)</f>
        <v>0</v>
      </c>
      <c r="K62" s="130">
        <f t="shared" ref="K62:Q62" si="29">SUM(K54,K61)</f>
        <v>0</v>
      </c>
      <c r="L62" s="130">
        <f t="shared" si="29"/>
        <v>0</v>
      </c>
      <c r="M62" s="130">
        <f t="shared" si="29"/>
        <v>0</v>
      </c>
      <c r="N62" s="130">
        <f t="shared" si="29"/>
        <v>0</v>
      </c>
      <c r="O62" s="130">
        <f t="shared" si="29"/>
        <v>0</v>
      </c>
      <c r="P62" s="130">
        <f t="shared" si="29"/>
        <v>0</v>
      </c>
      <c r="Q62" s="130">
        <f t="shared" si="29"/>
        <v>0</v>
      </c>
      <c r="R62" s="131"/>
      <c r="S62" s="131"/>
      <c r="T62" s="129">
        <v>0</v>
      </c>
      <c r="U62" s="129">
        <v>0</v>
      </c>
      <c r="V62" s="129">
        <v>0</v>
      </c>
      <c r="W62" s="129">
        <v>0</v>
      </c>
      <c r="X62" s="129">
        <v>0</v>
      </c>
      <c r="Y62" s="129">
        <v>0</v>
      </c>
      <c r="Z62" s="129">
        <v>0</v>
      </c>
      <c r="AA62" s="129">
        <v>0</v>
      </c>
      <c r="AB62" s="129">
        <v>0</v>
      </c>
      <c r="AC62" s="129">
        <v>0</v>
      </c>
      <c r="AD62" s="129">
        <v>0</v>
      </c>
      <c r="AE62" s="129">
        <v>0</v>
      </c>
      <c r="AF62" s="129">
        <v>0</v>
      </c>
      <c r="AG62" s="129">
        <v>0</v>
      </c>
      <c r="AH62" s="129">
        <v>0</v>
      </c>
      <c r="AI62" s="129">
        <v>0</v>
      </c>
      <c r="AJ62" s="129">
        <v>0</v>
      </c>
      <c r="AK62" s="129">
        <v>0</v>
      </c>
      <c r="AL62" s="129">
        <v>0</v>
      </c>
      <c r="AM62" s="129">
        <v>0</v>
      </c>
      <c r="AN62" s="129">
        <v>0</v>
      </c>
      <c r="AO62" s="129">
        <v>0</v>
      </c>
      <c r="AP62" s="129">
        <v>0</v>
      </c>
      <c r="AQ62" s="129">
        <v>0</v>
      </c>
      <c r="AR62" s="129">
        <v>0</v>
      </c>
      <c r="AS62" s="129">
        <v>0</v>
      </c>
      <c r="AT62" s="129">
        <v>0</v>
      </c>
      <c r="AU62" s="129">
        <v>0</v>
      </c>
      <c r="AV62" s="129">
        <v>0</v>
      </c>
      <c r="AW62" s="129">
        <v>0</v>
      </c>
      <c r="AX62" s="129">
        <v>0</v>
      </c>
      <c r="AY62" s="129">
        <v>0</v>
      </c>
      <c r="AZ62" s="129">
        <v>0</v>
      </c>
      <c r="BA62" s="129">
        <v>0</v>
      </c>
      <c r="BB62" s="129">
        <v>0</v>
      </c>
      <c r="BC62" s="129">
        <v>0</v>
      </c>
      <c r="BD62" s="129">
        <v>0</v>
      </c>
      <c r="BE62" s="129">
        <v>0</v>
      </c>
      <c r="BF62" s="129">
        <v>0</v>
      </c>
      <c r="BG62" s="129">
        <v>0</v>
      </c>
      <c r="BH62" s="129">
        <v>0</v>
      </c>
      <c r="BI62" s="129">
        <v>0</v>
      </c>
      <c r="BJ62" s="129">
        <v>0</v>
      </c>
      <c r="BK62" s="129">
        <v>0</v>
      </c>
      <c r="BL62" s="129">
        <v>0</v>
      </c>
      <c r="BM62" s="129">
        <v>0</v>
      </c>
      <c r="BN62" s="129">
        <v>0</v>
      </c>
      <c r="BO62" s="129">
        <v>0</v>
      </c>
      <c r="BP62" s="129">
        <v>0</v>
      </c>
      <c r="BQ62" s="129">
        <v>0</v>
      </c>
      <c r="BR62" s="129">
        <v>0</v>
      </c>
      <c r="BS62" s="129">
        <v>0</v>
      </c>
      <c r="BT62" s="129">
        <v>0</v>
      </c>
      <c r="BU62" s="129">
        <v>0</v>
      </c>
      <c r="BV62" s="129">
        <v>0</v>
      </c>
      <c r="BW62" s="129">
        <v>0</v>
      </c>
      <c r="BX62" s="129">
        <v>0</v>
      </c>
      <c r="BY62" s="129">
        <v>0</v>
      </c>
      <c r="BZ62" s="129">
        <v>0</v>
      </c>
      <c r="CA62" s="129">
        <v>0</v>
      </c>
      <c r="CB62" s="129">
        <v>0</v>
      </c>
      <c r="CC62" s="129">
        <v>0</v>
      </c>
      <c r="CD62" s="129">
        <v>0</v>
      </c>
      <c r="CE62" s="129">
        <v>0</v>
      </c>
      <c r="CF62" s="129">
        <v>0</v>
      </c>
      <c r="CG62" s="129">
        <v>0</v>
      </c>
      <c r="CH62" s="129">
        <v>0</v>
      </c>
      <c r="CI62" s="129">
        <v>0</v>
      </c>
      <c r="CJ62" s="129">
        <v>0</v>
      </c>
      <c r="CK62" s="129">
        <v>0</v>
      </c>
      <c r="CL62" s="129">
        <v>0</v>
      </c>
      <c r="CM62" s="129">
        <v>0</v>
      </c>
      <c r="CN62" s="129">
        <v>0</v>
      </c>
      <c r="CO62" s="129">
        <v>0</v>
      </c>
      <c r="CP62" s="129">
        <v>0</v>
      </c>
      <c r="CQ62" s="129">
        <v>0</v>
      </c>
      <c r="CR62" s="129">
        <v>0</v>
      </c>
      <c r="CS62" s="129">
        <v>0</v>
      </c>
      <c r="CT62" s="129">
        <v>0</v>
      </c>
      <c r="CU62" s="129">
        <v>0</v>
      </c>
      <c r="CV62" s="129">
        <v>0</v>
      </c>
      <c r="CW62" s="129">
        <v>0</v>
      </c>
      <c r="CX62" s="129">
        <v>0</v>
      </c>
      <c r="CY62" s="129">
        <v>0</v>
      </c>
      <c r="CZ62" s="129">
        <v>0</v>
      </c>
      <c r="DA62" s="129">
        <v>0</v>
      </c>
      <c r="DB62" s="129">
        <v>0</v>
      </c>
      <c r="DC62" s="129">
        <v>0</v>
      </c>
      <c r="DD62" s="129">
        <v>0</v>
      </c>
      <c r="DE62" s="129">
        <v>0</v>
      </c>
      <c r="DF62" s="129">
        <v>0</v>
      </c>
      <c r="DG62" s="129">
        <v>0</v>
      </c>
      <c r="DH62" s="129">
        <v>0</v>
      </c>
      <c r="DI62" s="129">
        <v>0</v>
      </c>
      <c r="DJ62" s="129">
        <v>0</v>
      </c>
      <c r="DK62" s="129">
        <v>0</v>
      </c>
      <c r="DL62" s="129">
        <v>0</v>
      </c>
      <c r="DM62" s="129">
        <v>0</v>
      </c>
      <c r="DN62" s="129">
        <v>0</v>
      </c>
      <c r="DO62" s="129">
        <v>0</v>
      </c>
      <c r="DP62" s="129">
        <v>0</v>
      </c>
      <c r="DQ62" s="129">
        <v>0</v>
      </c>
      <c r="DR62" s="129">
        <v>0</v>
      </c>
      <c r="DS62" s="129">
        <v>0</v>
      </c>
      <c r="DT62" s="129">
        <v>0</v>
      </c>
      <c r="DU62" s="129">
        <v>0</v>
      </c>
      <c r="DV62" s="129">
        <v>0</v>
      </c>
      <c r="DW62" s="129">
        <v>0</v>
      </c>
      <c r="DX62" s="129">
        <v>0</v>
      </c>
      <c r="DY62" s="129">
        <v>0</v>
      </c>
      <c r="DZ62" s="129">
        <v>0</v>
      </c>
      <c r="EA62" s="129">
        <v>0</v>
      </c>
      <c r="EB62" s="129">
        <v>0</v>
      </c>
      <c r="EC62" s="129">
        <v>0</v>
      </c>
      <c r="ED62" s="129">
        <v>0</v>
      </c>
      <c r="EE62" s="129">
        <v>0</v>
      </c>
      <c r="EF62" s="129">
        <v>0</v>
      </c>
      <c r="EG62" s="129">
        <v>0</v>
      </c>
      <c r="EH62" s="129">
        <v>0</v>
      </c>
      <c r="EI62" s="129">
        <v>0</v>
      </c>
      <c r="EJ62" s="129">
        <v>0</v>
      </c>
      <c r="EK62" s="129">
        <v>0</v>
      </c>
      <c r="EL62" s="129">
        <v>0</v>
      </c>
      <c r="EM62" s="129">
        <v>0</v>
      </c>
      <c r="EN62" s="129">
        <v>0</v>
      </c>
      <c r="EO62" s="129">
        <v>0</v>
      </c>
      <c r="EP62" s="129">
        <v>0</v>
      </c>
      <c r="EQ62" s="129">
        <v>0</v>
      </c>
      <c r="ER62" s="129">
        <v>0</v>
      </c>
      <c r="ES62" s="129">
        <v>0</v>
      </c>
      <c r="ET62" s="129">
        <v>0</v>
      </c>
      <c r="EU62" s="129">
        <v>0</v>
      </c>
      <c r="EV62" s="129">
        <v>0</v>
      </c>
      <c r="EW62" s="129">
        <v>0</v>
      </c>
      <c r="EX62" s="129">
        <v>0</v>
      </c>
      <c r="EY62" s="129">
        <v>0</v>
      </c>
      <c r="EZ62" s="129">
        <v>0</v>
      </c>
      <c r="FA62" s="129">
        <v>0</v>
      </c>
      <c r="FB62" s="129">
        <v>0</v>
      </c>
      <c r="FC62" s="129">
        <v>0</v>
      </c>
      <c r="FD62" s="129">
        <v>0</v>
      </c>
      <c r="FE62" s="129">
        <v>0</v>
      </c>
      <c r="FF62" s="129">
        <v>0</v>
      </c>
      <c r="FG62" s="129">
        <v>0</v>
      </c>
      <c r="FH62" s="129">
        <v>0</v>
      </c>
      <c r="FI62" s="129">
        <v>0</v>
      </c>
      <c r="FJ62" s="129">
        <v>0</v>
      </c>
      <c r="FK62" s="129">
        <v>0</v>
      </c>
      <c r="FL62" s="129">
        <v>0</v>
      </c>
      <c r="FM62" s="129">
        <v>0</v>
      </c>
      <c r="FN62" s="129">
        <v>0</v>
      </c>
      <c r="FO62" s="129">
        <v>0</v>
      </c>
      <c r="FP62" s="129">
        <v>0</v>
      </c>
      <c r="FQ62" s="129">
        <v>0</v>
      </c>
      <c r="FR62" s="129">
        <v>0</v>
      </c>
      <c r="FS62" s="129">
        <v>0</v>
      </c>
      <c r="FT62" s="129">
        <v>0</v>
      </c>
      <c r="FU62" s="129">
        <v>0</v>
      </c>
      <c r="FV62" s="129">
        <v>0</v>
      </c>
      <c r="FW62" s="129">
        <v>0</v>
      </c>
      <c r="FX62" s="129">
        <v>0</v>
      </c>
      <c r="FY62" s="129">
        <v>0</v>
      </c>
      <c r="FZ62" s="129">
        <v>0</v>
      </c>
      <c r="GA62" s="129">
        <v>0</v>
      </c>
      <c r="GB62" s="129">
        <v>0</v>
      </c>
      <c r="GC62" s="129">
        <v>0</v>
      </c>
      <c r="GD62" s="129">
        <v>0</v>
      </c>
      <c r="GE62" s="129">
        <v>0</v>
      </c>
      <c r="GF62" s="129">
        <v>0</v>
      </c>
      <c r="GG62" s="129">
        <v>0</v>
      </c>
      <c r="GH62" s="129">
        <v>0</v>
      </c>
      <c r="GI62" s="129">
        <v>0</v>
      </c>
      <c r="GJ62" s="129">
        <v>0</v>
      </c>
      <c r="GK62" s="129">
        <v>0</v>
      </c>
      <c r="GL62" s="129">
        <v>0</v>
      </c>
      <c r="GM62" s="129">
        <v>0</v>
      </c>
      <c r="GN62" s="129">
        <v>0</v>
      </c>
      <c r="GO62" s="129">
        <v>0</v>
      </c>
      <c r="GP62" s="129">
        <v>0</v>
      </c>
      <c r="GQ62" s="129">
        <v>0</v>
      </c>
      <c r="GR62" s="129">
        <v>0</v>
      </c>
      <c r="GS62" s="129">
        <v>0</v>
      </c>
      <c r="GT62" s="129">
        <v>0</v>
      </c>
      <c r="GU62" s="129">
        <v>0</v>
      </c>
      <c r="GV62" s="129">
        <v>0</v>
      </c>
      <c r="GW62" s="129">
        <v>0</v>
      </c>
      <c r="GX62" s="129">
        <v>0</v>
      </c>
      <c r="GY62" s="129">
        <v>0</v>
      </c>
      <c r="GZ62" s="129">
        <v>0</v>
      </c>
      <c r="HA62" s="129">
        <v>0</v>
      </c>
      <c r="HB62" s="129">
        <v>0</v>
      </c>
      <c r="HC62" s="129">
        <v>0</v>
      </c>
      <c r="HD62" s="129">
        <v>0</v>
      </c>
      <c r="HE62" s="129">
        <v>0</v>
      </c>
      <c r="HF62" s="129">
        <v>0</v>
      </c>
      <c r="HG62" s="129">
        <v>0</v>
      </c>
      <c r="HH62" s="129">
        <v>0</v>
      </c>
      <c r="HI62" s="129">
        <v>0</v>
      </c>
      <c r="HJ62" s="129">
        <v>0</v>
      </c>
      <c r="HK62" s="129">
        <v>0</v>
      </c>
      <c r="HL62" s="129">
        <v>0</v>
      </c>
      <c r="HM62" s="129">
        <v>0</v>
      </c>
      <c r="HN62" s="129">
        <v>0</v>
      </c>
      <c r="HO62" s="129">
        <v>0</v>
      </c>
      <c r="HP62" s="129">
        <v>0</v>
      </c>
      <c r="HQ62" s="129">
        <v>0</v>
      </c>
      <c r="HR62" s="129">
        <v>0</v>
      </c>
      <c r="HS62" s="129">
        <v>0</v>
      </c>
      <c r="HT62" s="129">
        <v>0</v>
      </c>
      <c r="HU62" s="129">
        <v>0</v>
      </c>
      <c r="HV62" s="129">
        <v>0</v>
      </c>
      <c r="HW62" s="129">
        <v>0</v>
      </c>
      <c r="HX62" s="129">
        <v>0</v>
      </c>
      <c r="HY62" s="129">
        <v>0</v>
      </c>
      <c r="HZ62" s="129">
        <v>0</v>
      </c>
      <c r="IA62" s="129">
        <v>0</v>
      </c>
      <c r="IB62" s="129">
        <v>0</v>
      </c>
      <c r="IC62" s="129">
        <v>0</v>
      </c>
      <c r="ID62" s="129">
        <v>0</v>
      </c>
      <c r="IE62" s="129">
        <v>0</v>
      </c>
      <c r="IF62" s="129">
        <v>0</v>
      </c>
      <c r="IG62" s="129">
        <v>0</v>
      </c>
      <c r="IH62" s="129">
        <v>0</v>
      </c>
      <c r="II62" s="129">
        <v>0</v>
      </c>
      <c r="IJ62" s="129">
        <v>0</v>
      </c>
      <c r="IK62" s="129">
        <v>0</v>
      </c>
      <c r="IL62" s="129">
        <v>0</v>
      </c>
      <c r="IM62" s="129">
        <v>0</v>
      </c>
      <c r="IN62" s="129">
        <v>0</v>
      </c>
      <c r="IO62" s="129">
        <v>0</v>
      </c>
      <c r="IP62" s="129">
        <v>0</v>
      </c>
      <c r="IQ62" s="129">
        <v>0</v>
      </c>
      <c r="IR62" s="129">
        <v>0</v>
      </c>
      <c r="IS62" s="129">
        <v>0</v>
      </c>
      <c r="IT62" s="129">
        <v>0</v>
      </c>
      <c r="IU62" s="129">
        <v>0</v>
      </c>
      <c r="IV62" s="129">
        <v>0</v>
      </c>
      <c r="IW62" s="129">
        <v>0</v>
      </c>
      <c r="IX62" s="129">
        <v>0</v>
      </c>
      <c r="IY62" s="129">
        <v>0</v>
      </c>
      <c r="IZ62" s="129">
        <v>0</v>
      </c>
      <c r="JA62" s="129">
        <v>0</v>
      </c>
      <c r="JB62" s="129">
        <v>0</v>
      </c>
      <c r="JC62" s="129">
        <v>0</v>
      </c>
      <c r="JD62" s="129">
        <v>0</v>
      </c>
      <c r="JE62" s="129">
        <v>0</v>
      </c>
      <c r="JF62" s="129">
        <v>0</v>
      </c>
      <c r="JG62" s="129">
        <v>0</v>
      </c>
      <c r="JH62" s="129">
        <v>0</v>
      </c>
      <c r="JI62" s="129">
        <v>0</v>
      </c>
      <c r="JJ62" s="129">
        <v>0</v>
      </c>
      <c r="JK62" s="129">
        <v>0</v>
      </c>
      <c r="JL62" s="129">
        <v>0</v>
      </c>
      <c r="JM62" s="129">
        <v>0</v>
      </c>
      <c r="JN62" s="129">
        <v>0</v>
      </c>
      <c r="JO62" s="129">
        <v>0</v>
      </c>
      <c r="JP62" s="129">
        <v>0</v>
      </c>
      <c r="JQ62" s="129">
        <v>0</v>
      </c>
      <c r="JR62" s="129">
        <v>0</v>
      </c>
      <c r="JS62" s="129">
        <v>0</v>
      </c>
      <c r="JT62" s="129">
        <v>0</v>
      </c>
      <c r="JU62" s="129">
        <v>0</v>
      </c>
      <c r="JV62" s="129">
        <v>0</v>
      </c>
      <c r="JW62" s="129">
        <v>0</v>
      </c>
      <c r="JX62" s="129">
        <v>0</v>
      </c>
      <c r="JY62" s="129">
        <v>0</v>
      </c>
      <c r="JZ62" s="129">
        <v>0</v>
      </c>
      <c r="KA62" s="129">
        <v>0</v>
      </c>
      <c r="KB62" s="129">
        <v>0</v>
      </c>
      <c r="KC62" s="129">
        <v>0</v>
      </c>
      <c r="KD62" s="129">
        <v>0</v>
      </c>
      <c r="KE62" s="129">
        <v>0</v>
      </c>
      <c r="KF62" s="129">
        <v>0</v>
      </c>
      <c r="KG62" s="129">
        <v>0</v>
      </c>
      <c r="KH62" s="129">
        <v>0</v>
      </c>
      <c r="KI62" s="129">
        <v>0</v>
      </c>
      <c r="KJ62" s="129">
        <v>0</v>
      </c>
      <c r="KK62" s="129">
        <v>0</v>
      </c>
      <c r="KL62" s="129">
        <v>0</v>
      </c>
      <c r="KM62" s="129">
        <v>0</v>
      </c>
      <c r="KN62" s="129">
        <v>0</v>
      </c>
      <c r="KO62" s="129">
        <v>0</v>
      </c>
      <c r="KP62" s="129">
        <v>0</v>
      </c>
      <c r="KQ62" s="129">
        <v>0</v>
      </c>
      <c r="KR62" s="129">
        <v>0</v>
      </c>
      <c r="KS62" s="129">
        <v>0</v>
      </c>
      <c r="KT62" s="129">
        <v>0</v>
      </c>
      <c r="KU62" s="129">
        <v>0</v>
      </c>
      <c r="KV62" s="129">
        <v>0</v>
      </c>
      <c r="KW62" s="129">
        <v>0</v>
      </c>
      <c r="KX62" s="129">
        <v>0</v>
      </c>
      <c r="KY62" s="129">
        <v>0</v>
      </c>
      <c r="KZ62" s="129">
        <v>0</v>
      </c>
      <c r="LA62" s="129">
        <v>0</v>
      </c>
      <c r="LB62" s="129">
        <v>0</v>
      </c>
      <c r="LC62" s="129">
        <v>0</v>
      </c>
      <c r="LD62" s="129">
        <v>0</v>
      </c>
      <c r="LE62" s="129">
        <v>0</v>
      </c>
      <c r="LF62" s="129">
        <v>0</v>
      </c>
      <c r="LG62" s="129">
        <v>0</v>
      </c>
      <c r="LH62" s="129">
        <v>0</v>
      </c>
      <c r="LI62" s="129">
        <v>0</v>
      </c>
      <c r="LJ62" s="129">
        <v>0</v>
      </c>
      <c r="LK62" s="129">
        <v>0</v>
      </c>
      <c r="LL62" s="129">
        <v>0</v>
      </c>
      <c r="LM62" s="129">
        <v>0</v>
      </c>
      <c r="LN62" s="129">
        <v>0</v>
      </c>
      <c r="LO62" s="129">
        <v>0</v>
      </c>
      <c r="LP62" s="129">
        <v>0</v>
      </c>
      <c r="LQ62" s="129">
        <v>0</v>
      </c>
      <c r="LR62" s="129">
        <v>0</v>
      </c>
      <c r="LS62" s="129">
        <v>0</v>
      </c>
      <c r="LT62" s="129">
        <v>0</v>
      </c>
      <c r="LU62" s="129">
        <v>0</v>
      </c>
      <c r="LV62" s="129">
        <v>0</v>
      </c>
      <c r="LW62" s="129">
        <v>0</v>
      </c>
      <c r="LX62" s="129">
        <v>0</v>
      </c>
      <c r="LY62" s="129">
        <v>0</v>
      </c>
      <c r="LZ62" s="129">
        <v>0</v>
      </c>
      <c r="MA62" s="129">
        <v>0</v>
      </c>
      <c r="MB62" s="129">
        <v>0</v>
      </c>
      <c r="MC62" s="129">
        <v>0</v>
      </c>
      <c r="MD62" s="129">
        <v>0</v>
      </c>
      <c r="ME62" s="129">
        <v>0</v>
      </c>
      <c r="MF62" s="129">
        <v>0</v>
      </c>
      <c r="MG62" s="129">
        <v>0</v>
      </c>
      <c r="MH62" s="129">
        <v>0</v>
      </c>
      <c r="MI62" s="129">
        <v>0</v>
      </c>
      <c r="MJ62" s="129">
        <v>0</v>
      </c>
      <c r="MK62" s="129">
        <v>0</v>
      </c>
      <c r="ML62" s="129">
        <v>0</v>
      </c>
      <c r="MM62" s="129">
        <v>0</v>
      </c>
      <c r="MN62" s="129">
        <v>0</v>
      </c>
      <c r="MO62" s="129">
        <v>0</v>
      </c>
      <c r="MP62" s="129">
        <v>0</v>
      </c>
      <c r="MQ62" s="129">
        <v>0</v>
      </c>
      <c r="MR62" s="129">
        <v>0</v>
      </c>
      <c r="MS62" s="129">
        <v>0</v>
      </c>
      <c r="MT62" s="129">
        <v>0</v>
      </c>
      <c r="MU62" s="129">
        <v>0</v>
      </c>
      <c r="MV62" s="129">
        <v>0</v>
      </c>
      <c r="MW62" s="129">
        <v>0</v>
      </c>
      <c r="MX62" s="129">
        <v>0</v>
      </c>
      <c r="MY62" s="129">
        <v>0</v>
      </c>
      <c r="MZ62" s="129">
        <v>0</v>
      </c>
      <c r="NA62" s="129">
        <v>0</v>
      </c>
      <c r="NB62" s="129">
        <v>0</v>
      </c>
      <c r="NC62" s="129">
        <v>0</v>
      </c>
      <c r="ND62" s="129">
        <v>0</v>
      </c>
      <c r="NE62" s="129">
        <v>0</v>
      </c>
      <c r="NF62" s="129">
        <v>0</v>
      </c>
      <c r="NG62" s="129">
        <v>0</v>
      </c>
      <c r="NH62" s="129">
        <v>0</v>
      </c>
      <c r="NI62" s="129">
        <v>0</v>
      </c>
      <c r="NJ62" s="129">
        <v>0</v>
      </c>
      <c r="NK62" s="129">
        <v>0</v>
      </c>
      <c r="NL62" s="129">
        <v>0</v>
      </c>
      <c r="NM62" s="129">
        <v>0</v>
      </c>
      <c r="NN62" s="129">
        <v>0</v>
      </c>
      <c r="NO62" s="129">
        <v>0</v>
      </c>
      <c r="NP62" s="129">
        <v>0</v>
      </c>
      <c r="NQ62" s="129">
        <v>0</v>
      </c>
      <c r="NR62" s="129">
        <v>0</v>
      </c>
      <c r="NS62" s="129">
        <v>0</v>
      </c>
      <c r="NT62" s="129">
        <v>0</v>
      </c>
      <c r="NU62" s="129">
        <v>0</v>
      </c>
      <c r="NV62" s="129">
        <v>0</v>
      </c>
      <c r="NW62" s="129">
        <v>0</v>
      </c>
      <c r="NX62" s="129">
        <v>0</v>
      </c>
      <c r="NY62" s="129">
        <v>0</v>
      </c>
      <c r="NZ62" s="129">
        <v>0</v>
      </c>
      <c r="OA62" s="129">
        <v>0</v>
      </c>
      <c r="OB62" s="129">
        <v>0</v>
      </c>
      <c r="OC62" s="129">
        <v>0</v>
      </c>
      <c r="OD62" s="129">
        <v>0</v>
      </c>
      <c r="OE62" s="129">
        <v>0</v>
      </c>
      <c r="OF62" s="129">
        <v>0</v>
      </c>
      <c r="OG62" s="129">
        <v>0</v>
      </c>
      <c r="OH62" s="133">
        <v>0</v>
      </c>
    </row>
    <row r="63" spans="1:398" x14ac:dyDescent="0.35">
      <c r="A63" s="102"/>
      <c r="B63" s="168">
        <f t="shared" si="8"/>
        <v>35</v>
      </c>
      <c r="C63" s="171" t="s">
        <v>903</v>
      </c>
      <c r="D63" s="124" t="s">
        <v>751</v>
      </c>
      <c r="E63" s="124" t="s">
        <v>909</v>
      </c>
      <c r="F63" s="125" t="s">
        <v>959</v>
      </c>
      <c r="G63" s="125" t="s">
        <v>738</v>
      </c>
      <c r="H63" s="125" t="s">
        <v>910</v>
      </c>
      <c r="I63" s="129">
        <v>0</v>
      </c>
      <c r="J63" s="129">
        <v>0</v>
      </c>
      <c r="K63" s="129">
        <v>0</v>
      </c>
      <c r="L63" s="129">
        <v>0</v>
      </c>
      <c r="M63" s="129">
        <v>0</v>
      </c>
      <c r="N63" s="129">
        <v>0</v>
      </c>
      <c r="O63" s="130">
        <f>SUM(P63,R63)</f>
        <v>0</v>
      </c>
      <c r="P63" s="129">
        <v>0</v>
      </c>
      <c r="Q63" s="129">
        <v>0</v>
      </c>
      <c r="R63" s="165"/>
      <c r="S63" s="165"/>
      <c r="T63" s="129">
        <v>0</v>
      </c>
      <c r="U63" s="129">
        <v>0</v>
      </c>
      <c r="V63" s="129">
        <v>0</v>
      </c>
      <c r="W63" s="129">
        <v>0</v>
      </c>
      <c r="X63" s="129">
        <v>0</v>
      </c>
      <c r="Y63" s="129">
        <v>0</v>
      </c>
      <c r="Z63" s="129">
        <v>0</v>
      </c>
      <c r="AA63" s="129">
        <v>0</v>
      </c>
      <c r="AB63" s="129">
        <v>0</v>
      </c>
      <c r="AC63" s="129">
        <v>0</v>
      </c>
      <c r="AD63" s="129">
        <v>0</v>
      </c>
      <c r="AE63" s="129">
        <v>0</v>
      </c>
      <c r="AF63" s="129">
        <v>0</v>
      </c>
      <c r="AG63" s="129">
        <v>0</v>
      </c>
      <c r="AH63" s="129">
        <v>0</v>
      </c>
      <c r="AI63" s="129">
        <v>0</v>
      </c>
      <c r="AJ63" s="129">
        <v>0</v>
      </c>
      <c r="AK63" s="129">
        <v>0</v>
      </c>
      <c r="AL63" s="129">
        <v>0</v>
      </c>
      <c r="AM63" s="129">
        <v>0</v>
      </c>
      <c r="AN63" s="129">
        <v>0</v>
      </c>
      <c r="AO63" s="129">
        <v>0</v>
      </c>
      <c r="AP63" s="129">
        <v>0</v>
      </c>
      <c r="AQ63" s="129">
        <v>0</v>
      </c>
      <c r="AR63" s="129">
        <v>0</v>
      </c>
      <c r="AS63" s="129">
        <v>0</v>
      </c>
      <c r="AT63" s="129">
        <v>0</v>
      </c>
      <c r="AU63" s="129">
        <v>0</v>
      </c>
      <c r="AV63" s="129">
        <v>0</v>
      </c>
      <c r="AW63" s="129">
        <v>0</v>
      </c>
      <c r="AX63" s="129">
        <v>0</v>
      </c>
      <c r="AY63" s="129">
        <v>0</v>
      </c>
      <c r="AZ63" s="129">
        <v>0</v>
      </c>
      <c r="BA63" s="129">
        <v>0</v>
      </c>
      <c r="BB63" s="129">
        <v>0</v>
      </c>
      <c r="BC63" s="129">
        <v>0</v>
      </c>
      <c r="BD63" s="129">
        <v>0</v>
      </c>
      <c r="BE63" s="129">
        <v>0</v>
      </c>
      <c r="BF63" s="129">
        <v>0</v>
      </c>
      <c r="BG63" s="129">
        <v>0</v>
      </c>
      <c r="BH63" s="129">
        <v>0</v>
      </c>
      <c r="BI63" s="129">
        <v>0</v>
      </c>
      <c r="BJ63" s="129">
        <v>0</v>
      </c>
      <c r="BK63" s="129">
        <v>0</v>
      </c>
      <c r="BL63" s="129">
        <v>0</v>
      </c>
      <c r="BM63" s="129">
        <v>0</v>
      </c>
      <c r="BN63" s="129">
        <v>0</v>
      </c>
      <c r="BO63" s="129">
        <v>0</v>
      </c>
      <c r="BP63" s="129">
        <v>0</v>
      </c>
      <c r="BQ63" s="129">
        <v>0</v>
      </c>
      <c r="BR63" s="129">
        <v>0</v>
      </c>
      <c r="BS63" s="129">
        <v>0</v>
      </c>
      <c r="BT63" s="129">
        <v>0</v>
      </c>
      <c r="BU63" s="129">
        <v>0</v>
      </c>
      <c r="BV63" s="129">
        <v>0</v>
      </c>
      <c r="BW63" s="129">
        <v>0</v>
      </c>
      <c r="BX63" s="129">
        <v>0</v>
      </c>
      <c r="BY63" s="129">
        <v>0</v>
      </c>
      <c r="BZ63" s="129">
        <v>0</v>
      </c>
      <c r="CA63" s="129">
        <v>0</v>
      </c>
      <c r="CB63" s="129">
        <v>0</v>
      </c>
      <c r="CC63" s="129">
        <v>0</v>
      </c>
      <c r="CD63" s="129">
        <v>0</v>
      </c>
      <c r="CE63" s="129">
        <v>0</v>
      </c>
      <c r="CF63" s="129">
        <v>0</v>
      </c>
      <c r="CG63" s="129">
        <v>0</v>
      </c>
      <c r="CH63" s="129">
        <v>0</v>
      </c>
      <c r="CI63" s="129">
        <v>0</v>
      </c>
      <c r="CJ63" s="129">
        <v>0</v>
      </c>
      <c r="CK63" s="129">
        <v>0</v>
      </c>
      <c r="CL63" s="129">
        <v>0</v>
      </c>
      <c r="CM63" s="129">
        <v>0</v>
      </c>
      <c r="CN63" s="129">
        <v>0</v>
      </c>
      <c r="CO63" s="129">
        <v>0</v>
      </c>
      <c r="CP63" s="129">
        <v>0</v>
      </c>
      <c r="CQ63" s="129">
        <v>0</v>
      </c>
      <c r="CR63" s="129">
        <v>0</v>
      </c>
      <c r="CS63" s="129">
        <v>0</v>
      </c>
      <c r="CT63" s="129">
        <v>0</v>
      </c>
      <c r="CU63" s="129">
        <v>0</v>
      </c>
      <c r="CV63" s="129">
        <v>0</v>
      </c>
      <c r="CW63" s="129">
        <v>0</v>
      </c>
      <c r="CX63" s="129">
        <v>0</v>
      </c>
      <c r="CY63" s="129">
        <v>0</v>
      </c>
      <c r="CZ63" s="129">
        <v>0</v>
      </c>
      <c r="DA63" s="129">
        <v>0</v>
      </c>
      <c r="DB63" s="129">
        <v>0</v>
      </c>
      <c r="DC63" s="129">
        <v>0</v>
      </c>
      <c r="DD63" s="129">
        <v>0</v>
      </c>
      <c r="DE63" s="129">
        <v>0</v>
      </c>
      <c r="DF63" s="129">
        <v>0</v>
      </c>
      <c r="DG63" s="129">
        <v>0</v>
      </c>
      <c r="DH63" s="129">
        <v>0</v>
      </c>
      <c r="DI63" s="129">
        <v>0</v>
      </c>
      <c r="DJ63" s="129">
        <v>0</v>
      </c>
      <c r="DK63" s="129">
        <v>0</v>
      </c>
      <c r="DL63" s="129">
        <v>0</v>
      </c>
      <c r="DM63" s="129">
        <v>0</v>
      </c>
      <c r="DN63" s="129">
        <v>0</v>
      </c>
      <c r="DO63" s="129">
        <v>0</v>
      </c>
      <c r="DP63" s="129">
        <v>0</v>
      </c>
      <c r="DQ63" s="129">
        <v>0</v>
      </c>
      <c r="DR63" s="129">
        <v>0</v>
      </c>
      <c r="DS63" s="129">
        <v>0</v>
      </c>
      <c r="DT63" s="129">
        <v>0</v>
      </c>
      <c r="DU63" s="129">
        <v>0</v>
      </c>
      <c r="DV63" s="129">
        <v>0</v>
      </c>
      <c r="DW63" s="129">
        <v>0</v>
      </c>
      <c r="DX63" s="129">
        <v>0</v>
      </c>
      <c r="DY63" s="129">
        <v>0</v>
      </c>
      <c r="DZ63" s="129">
        <v>0</v>
      </c>
      <c r="EA63" s="129">
        <v>0</v>
      </c>
      <c r="EB63" s="129">
        <v>0</v>
      </c>
      <c r="EC63" s="129">
        <v>0</v>
      </c>
      <c r="ED63" s="129">
        <v>0</v>
      </c>
      <c r="EE63" s="129">
        <v>0</v>
      </c>
      <c r="EF63" s="129">
        <v>0</v>
      </c>
      <c r="EG63" s="129">
        <v>0</v>
      </c>
      <c r="EH63" s="129">
        <v>0</v>
      </c>
      <c r="EI63" s="129">
        <v>0</v>
      </c>
      <c r="EJ63" s="129">
        <v>0</v>
      </c>
      <c r="EK63" s="129">
        <v>0</v>
      </c>
      <c r="EL63" s="129">
        <v>0</v>
      </c>
      <c r="EM63" s="129">
        <v>0</v>
      </c>
      <c r="EN63" s="129">
        <v>0</v>
      </c>
      <c r="EO63" s="129">
        <v>0</v>
      </c>
      <c r="EP63" s="129">
        <v>0</v>
      </c>
      <c r="EQ63" s="129">
        <v>0</v>
      </c>
      <c r="ER63" s="129">
        <v>0</v>
      </c>
      <c r="ES63" s="129">
        <v>0</v>
      </c>
      <c r="ET63" s="129">
        <v>0</v>
      </c>
      <c r="EU63" s="129">
        <v>0</v>
      </c>
      <c r="EV63" s="129">
        <v>0</v>
      </c>
      <c r="EW63" s="129">
        <v>0</v>
      </c>
      <c r="EX63" s="129">
        <v>0</v>
      </c>
      <c r="EY63" s="129">
        <v>0</v>
      </c>
      <c r="EZ63" s="129">
        <v>0</v>
      </c>
      <c r="FA63" s="129">
        <v>0</v>
      </c>
      <c r="FB63" s="129">
        <v>0</v>
      </c>
      <c r="FC63" s="129">
        <v>0</v>
      </c>
      <c r="FD63" s="129">
        <v>0</v>
      </c>
      <c r="FE63" s="129">
        <v>0</v>
      </c>
      <c r="FF63" s="129">
        <v>0</v>
      </c>
      <c r="FG63" s="129">
        <v>0</v>
      </c>
      <c r="FH63" s="129">
        <v>0</v>
      </c>
      <c r="FI63" s="129">
        <v>0</v>
      </c>
      <c r="FJ63" s="129">
        <v>0</v>
      </c>
      <c r="FK63" s="129">
        <v>0</v>
      </c>
      <c r="FL63" s="129">
        <v>0</v>
      </c>
      <c r="FM63" s="129">
        <v>0</v>
      </c>
      <c r="FN63" s="129">
        <v>0</v>
      </c>
      <c r="FO63" s="129">
        <v>0</v>
      </c>
      <c r="FP63" s="129">
        <v>0</v>
      </c>
      <c r="FQ63" s="129">
        <v>0</v>
      </c>
      <c r="FR63" s="129">
        <v>0</v>
      </c>
      <c r="FS63" s="129">
        <v>0</v>
      </c>
      <c r="FT63" s="129">
        <v>0</v>
      </c>
      <c r="FU63" s="129">
        <v>0</v>
      </c>
      <c r="FV63" s="129">
        <v>0</v>
      </c>
      <c r="FW63" s="129">
        <v>0</v>
      </c>
      <c r="FX63" s="129">
        <v>0</v>
      </c>
      <c r="FY63" s="129">
        <v>0</v>
      </c>
      <c r="FZ63" s="129">
        <v>0</v>
      </c>
      <c r="GA63" s="129">
        <v>0</v>
      </c>
      <c r="GB63" s="129">
        <v>0</v>
      </c>
      <c r="GC63" s="129">
        <v>0</v>
      </c>
      <c r="GD63" s="129">
        <v>0</v>
      </c>
      <c r="GE63" s="129">
        <v>0</v>
      </c>
      <c r="GF63" s="129">
        <v>0</v>
      </c>
      <c r="GG63" s="129">
        <v>0</v>
      </c>
      <c r="GH63" s="129">
        <v>0</v>
      </c>
      <c r="GI63" s="129">
        <v>0</v>
      </c>
      <c r="GJ63" s="129">
        <v>0</v>
      </c>
      <c r="GK63" s="129">
        <v>0</v>
      </c>
      <c r="GL63" s="129">
        <v>0</v>
      </c>
      <c r="GM63" s="129">
        <v>0</v>
      </c>
      <c r="GN63" s="129">
        <v>0</v>
      </c>
      <c r="GO63" s="129">
        <v>0</v>
      </c>
      <c r="GP63" s="129">
        <v>0</v>
      </c>
      <c r="GQ63" s="129">
        <v>0</v>
      </c>
      <c r="GR63" s="129">
        <v>0</v>
      </c>
      <c r="GS63" s="129">
        <v>0</v>
      </c>
      <c r="GT63" s="129">
        <v>0</v>
      </c>
      <c r="GU63" s="129">
        <v>0</v>
      </c>
      <c r="GV63" s="129">
        <v>0</v>
      </c>
      <c r="GW63" s="129">
        <v>0</v>
      </c>
      <c r="GX63" s="129">
        <v>0</v>
      </c>
      <c r="GY63" s="129">
        <v>0</v>
      </c>
      <c r="GZ63" s="129">
        <v>0</v>
      </c>
      <c r="HA63" s="129">
        <v>0</v>
      </c>
      <c r="HB63" s="129">
        <v>0</v>
      </c>
      <c r="HC63" s="129">
        <v>0</v>
      </c>
      <c r="HD63" s="129">
        <v>0</v>
      </c>
      <c r="HE63" s="129">
        <v>0</v>
      </c>
      <c r="HF63" s="129">
        <v>0</v>
      </c>
      <c r="HG63" s="129">
        <v>0</v>
      </c>
      <c r="HH63" s="129">
        <v>0</v>
      </c>
      <c r="HI63" s="129">
        <v>0</v>
      </c>
      <c r="HJ63" s="129">
        <v>0</v>
      </c>
      <c r="HK63" s="129">
        <v>0</v>
      </c>
      <c r="HL63" s="129">
        <v>0</v>
      </c>
      <c r="HM63" s="129">
        <v>0</v>
      </c>
      <c r="HN63" s="129">
        <v>0</v>
      </c>
      <c r="HO63" s="129">
        <v>0</v>
      </c>
      <c r="HP63" s="129">
        <v>0</v>
      </c>
      <c r="HQ63" s="129">
        <v>0</v>
      </c>
      <c r="HR63" s="129">
        <v>0</v>
      </c>
      <c r="HS63" s="129">
        <v>0</v>
      </c>
      <c r="HT63" s="129">
        <v>0</v>
      </c>
      <c r="HU63" s="129">
        <v>0</v>
      </c>
      <c r="HV63" s="129">
        <v>0</v>
      </c>
      <c r="HW63" s="129">
        <v>0</v>
      </c>
      <c r="HX63" s="129">
        <v>0</v>
      </c>
      <c r="HY63" s="129">
        <v>0</v>
      </c>
      <c r="HZ63" s="129">
        <v>0</v>
      </c>
      <c r="IA63" s="129">
        <v>0</v>
      </c>
      <c r="IB63" s="129">
        <v>0</v>
      </c>
      <c r="IC63" s="129">
        <v>0</v>
      </c>
      <c r="ID63" s="129">
        <v>0</v>
      </c>
      <c r="IE63" s="129">
        <v>0</v>
      </c>
      <c r="IF63" s="129">
        <v>0</v>
      </c>
      <c r="IG63" s="129">
        <v>0</v>
      </c>
      <c r="IH63" s="129">
        <v>0</v>
      </c>
      <c r="II63" s="129">
        <v>0</v>
      </c>
      <c r="IJ63" s="129">
        <v>0</v>
      </c>
      <c r="IK63" s="129">
        <v>0</v>
      </c>
      <c r="IL63" s="129">
        <v>0</v>
      </c>
      <c r="IM63" s="129">
        <v>0</v>
      </c>
      <c r="IN63" s="129">
        <v>0</v>
      </c>
      <c r="IO63" s="129">
        <v>0</v>
      </c>
      <c r="IP63" s="129">
        <v>0</v>
      </c>
      <c r="IQ63" s="129">
        <v>0</v>
      </c>
      <c r="IR63" s="129">
        <v>0</v>
      </c>
      <c r="IS63" s="129">
        <v>0</v>
      </c>
      <c r="IT63" s="129">
        <v>0</v>
      </c>
      <c r="IU63" s="129">
        <v>0</v>
      </c>
      <c r="IV63" s="129">
        <v>0</v>
      </c>
      <c r="IW63" s="129">
        <v>0</v>
      </c>
      <c r="IX63" s="129">
        <v>0</v>
      </c>
      <c r="IY63" s="129">
        <v>0</v>
      </c>
      <c r="IZ63" s="129">
        <v>0</v>
      </c>
      <c r="JA63" s="129">
        <v>0</v>
      </c>
      <c r="JB63" s="129">
        <v>0</v>
      </c>
      <c r="JC63" s="129">
        <v>0</v>
      </c>
      <c r="JD63" s="129">
        <v>0</v>
      </c>
      <c r="JE63" s="129">
        <v>0</v>
      </c>
      <c r="JF63" s="129">
        <v>0</v>
      </c>
      <c r="JG63" s="129">
        <v>0</v>
      </c>
      <c r="JH63" s="129">
        <v>0</v>
      </c>
      <c r="JI63" s="129">
        <v>0</v>
      </c>
      <c r="JJ63" s="129">
        <v>0</v>
      </c>
      <c r="JK63" s="129">
        <v>0</v>
      </c>
      <c r="JL63" s="129">
        <v>0</v>
      </c>
      <c r="JM63" s="129">
        <v>0</v>
      </c>
      <c r="JN63" s="129">
        <v>0</v>
      </c>
      <c r="JO63" s="129">
        <v>0</v>
      </c>
      <c r="JP63" s="129">
        <v>0</v>
      </c>
      <c r="JQ63" s="129">
        <v>0</v>
      </c>
      <c r="JR63" s="129">
        <v>0</v>
      </c>
      <c r="JS63" s="129">
        <v>0</v>
      </c>
      <c r="JT63" s="129">
        <v>0</v>
      </c>
      <c r="JU63" s="129">
        <v>0</v>
      </c>
      <c r="JV63" s="129">
        <v>0</v>
      </c>
      <c r="JW63" s="129">
        <v>0</v>
      </c>
      <c r="JX63" s="129">
        <v>0</v>
      </c>
      <c r="JY63" s="129">
        <v>0</v>
      </c>
      <c r="JZ63" s="129">
        <v>0</v>
      </c>
      <c r="KA63" s="129">
        <v>0</v>
      </c>
      <c r="KB63" s="129">
        <v>0</v>
      </c>
      <c r="KC63" s="129">
        <v>0</v>
      </c>
      <c r="KD63" s="129">
        <v>0</v>
      </c>
      <c r="KE63" s="129">
        <v>0</v>
      </c>
      <c r="KF63" s="129">
        <v>0</v>
      </c>
      <c r="KG63" s="129">
        <v>0</v>
      </c>
      <c r="KH63" s="129">
        <v>0</v>
      </c>
      <c r="KI63" s="129">
        <v>0</v>
      </c>
      <c r="KJ63" s="129">
        <v>0</v>
      </c>
      <c r="KK63" s="129">
        <v>0</v>
      </c>
      <c r="KL63" s="129">
        <v>0</v>
      </c>
      <c r="KM63" s="129">
        <v>0</v>
      </c>
      <c r="KN63" s="129">
        <v>0</v>
      </c>
      <c r="KO63" s="129">
        <v>0</v>
      </c>
      <c r="KP63" s="129">
        <v>0</v>
      </c>
      <c r="KQ63" s="129">
        <v>0</v>
      </c>
      <c r="KR63" s="129">
        <v>0</v>
      </c>
      <c r="KS63" s="129">
        <v>0</v>
      </c>
      <c r="KT63" s="129">
        <v>0</v>
      </c>
      <c r="KU63" s="129">
        <v>0</v>
      </c>
      <c r="KV63" s="129">
        <v>0</v>
      </c>
      <c r="KW63" s="129">
        <v>0</v>
      </c>
      <c r="KX63" s="129">
        <v>0</v>
      </c>
      <c r="KY63" s="129">
        <v>0</v>
      </c>
      <c r="KZ63" s="129">
        <v>0</v>
      </c>
      <c r="LA63" s="129">
        <v>0</v>
      </c>
      <c r="LB63" s="129">
        <v>0</v>
      </c>
      <c r="LC63" s="129">
        <v>0</v>
      </c>
      <c r="LD63" s="129">
        <v>0</v>
      </c>
      <c r="LE63" s="129">
        <v>0</v>
      </c>
      <c r="LF63" s="129">
        <v>0</v>
      </c>
      <c r="LG63" s="129">
        <v>0</v>
      </c>
      <c r="LH63" s="129">
        <v>0</v>
      </c>
      <c r="LI63" s="129">
        <v>0</v>
      </c>
      <c r="LJ63" s="129">
        <v>0</v>
      </c>
      <c r="LK63" s="129">
        <v>0</v>
      </c>
      <c r="LL63" s="129">
        <v>0</v>
      </c>
      <c r="LM63" s="129">
        <v>0</v>
      </c>
      <c r="LN63" s="129">
        <v>0</v>
      </c>
      <c r="LO63" s="129">
        <v>0</v>
      </c>
      <c r="LP63" s="129">
        <v>0</v>
      </c>
      <c r="LQ63" s="129">
        <v>0</v>
      </c>
      <c r="LR63" s="129">
        <v>0</v>
      </c>
      <c r="LS63" s="129">
        <v>0</v>
      </c>
      <c r="LT63" s="129">
        <v>0</v>
      </c>
      <c r="LU63" s="129">
        <v>0</v>
      </c>
      <c r="LV63" s="129">
        <v>0</v>
      </c>
      <c r="LW63" s="129">
        <v>0</v>
      </c>
      <c r="LX63" s="129">
        <v>0</v>
      </c>
      <c r="LY63" s="129">
        <v>0</v>
      </c>
      <c r="LZ63" s="129">
        <v>0</v>
      </c>
      <c r="MA63" s="129">
        <v>0</v>
      </c>
      <c r="MB63" s="129">
        <v>0</v>
      </c>
      <c r="MC63" s="129">
        <v>0</v>
      </c>
      <c r="MD63" s="129">
        <v>0</v>
      </c>
      <c r="ME63" s="129">
        <v>0</v>
      </c>
      <c r="MF63" s="129">
        <v>0</v>
      </c>
      <c r="MG63" s="129">
        <v>0</v>
      </c>
      <c r="MH63" s="129">
        <v>0</v>
      </c>
      <c r="MI63" s="129">
        <v>0</v>
      </c>
      <c r="MJ63" s="129">
        <v>0</v>
      </c>
      <c r="MK63" s="129">
        <v>0</v>
      </c>
      <c r="ML63" s="129">
        <v>0</v>
      </c>
      <c r="MM63" s="129">
        <v>0</v>
      </c>
      <c r="MN63" s="129">
        <v>0</v>
      </c>
      <c r="MO63" s="129">
        <v>0</v>
      </c>
      <c r="MP63" s="129">
        <v>0</v>
      </c>
      <c r="MQ63" s="129">
        <v>0</v>
      </c>
      <c r="MR63" s="129">
        <v>0</v>
      </c>
      <c r="MS63" s="129">
        <v>0</v>
      </c>
      <c r="MT63" s="129">
        <v>0</v>
      </c>
      <c r="MU63" s="129">
        <v>0</v>
      </c>
      <c r="MV63" s="129">
        <v>0</v>
      </c>
      <c r="MW63" s="129">
        <v>0</v>
      </c>
      <c r="MX63" s="129">
        <v>0</v>
      </c>
      <c r="MY63" s="129">
        <v>0</v>
      </c>
      <c r="MZ63" s="129">
        <v>0</v>
      </c>
      <c r="NA63" s="129">
        <v>0</v>
      </c>
      <c r="NB63" s="129">
        <v>0</v>
      </c>
      <c r="NC63" s="129">
        <v>0</v>
      </c>
      <c r="ND63" s="129">
        <v>0</v>
      </c>
      <c r="NE63" s="129">
        <v>0</v>
      </c>
      <c r="NF63" s="129">
        <v>0</v>
      </c>
      <c r="NG63" s="129">
        <v>0</v>
      </c>
      <c r="NH63" s="129">
        <v>0</v>
      </c>
      <c r="NI63" s="129">
        <v>0</v>
      </c>
      <c r="NJ63" s="129">
        <v>0</v>
      </c>
      <c r="NK63" s="129">
        <v>0</v>
      </c>
      <c r="NL63" s="129">
        <v>0</v>
      </c>
      <c r="NM63" s="129">
        <v>0</v>
      </c>
      <c r="NN63" s="129">
        <v>0</v>
      </c>
      <c r="NO63" s="129">
        <v>0</v>
      </c>
      <c r="NP63" s="129">
        <v>0</v>
      </c>
      <c r="NQ63" s="129">
        <v>0</v>
      </c>
      <c r="NR63" s="129">
        <v>0</v>
      </c>
      <c r="NS63" s="129">
        <v>0</v>
      </c>
      <c r="NT63" s="129">
        <v>0</v>
      </c>
      <c r="NU63" s="129">
        <v>0</v>
      </c>
      <c r="NV63" s="129">
        <v>0</v>
      </c>
      <c r="NW63" s="129">
        <v>0</v>
      </c>
      <c r="NX63" s="129">
        <v>0</v>
      </c>
      <c r="NY63" s="129">
        <v>0</v>
      </c>
      <c r="NZ63" s="129">
        <v>0</v>
      </c>
      <c r="OA63" s="129">
        <v>0</v>
      </c>
      <c r="OB63" s="129">
        <v>0</v>
      </c>
      <c r="OC63" s="129">
        <v>0</v>
      </c>
      <c r="OD63" s="129">
        <v>0</v>
      </c>
      <c r="OE63" s="129">
        <v>0</v>
      </c>
      <c r="OF63" s="129">
        <v>0</v>
      </c>
      <c r="OG63" s="129">
        <v>0</v>
      </c>
      <c r="OH63" s="133">
        <v>0</v>
      </c>
    </row>
    <row r="64" spans="1:398" x14ac:dyDescent="0.35">
      <c r="A64" s="102"/>
      <c r="B64" s="168">
        <f t="shared" si="8"/>
        <v>36</v>
      </c>
      <c r="C64" s="171" t="s">
        <v>903</v>
      </c>
      <c r="D64" s="124" t="s">
        <v>751</v>
      </c>
      <c r="E64" s="124" t="s">
        <v>911</v>
      </c>
      <c r="F64" s="125" t="s">
        <v>960</v>
      </c>
      <c r="G64" s="125" t="s">
        <v>738</v>
      </c>
      <c r="H64" s="125" t="s">
        <v>944</v>
      </c>
      <c r="I64" s="129">
        <v>0</v>
      </c>
      <c r="J64" s="129">
        <v>0</v>
      </c>
      <c r="K64" s="129">
        <v>0</v>
      </c>
      <c r="L64" s="129">
        <v>0</v>
      </c>
      <c r="M64" s="129">
        <v>0</v>
      </c>
      <c r="N64" s="129">
        <v>0</v>
      </c>
      <c r="O64" s="130">
        <f>SUM(P64,R64)</f>
        <v>0</v>
      </c>
      <c r="P64" s="129">
        <v>0</v>
      </c>
      <c r="Q64" s="129">
        <v>0</v>
      </c>
      <c r="R64" s="129">
        <v>0</v>
      </c>
      <c r="S64" s="129">
        <v>0</v>
      </c>
      <c r="T64" s="129">
        <v>0</v>
      </c>
      <c r="U64" s="129">
        <v>0</v>
      </c>
      <c r="V64" s="129">
        <v>0</v>
      </c>
      <c r="W64" s="129">
        <v>0</v>
      </c>
      <c r="X64" s="129">
        <v>0</v>
      </c>
      <c r="Y64" s="129">
        <v>0</v>
      </c>
      <c r="Z64" s="129">
        <v>0</v>
      </c>
      <c r="AA64" s="129">
        <v>0</v>
      </c>
      <c r="AB64" s="129">
        <v>0</v>
      </c>
      <c r="AC64" s="129">
        <v>0</v>
      </c>
      <c r="AD64" s="129">
        <v>0</v>
      </c>
      <c r="AE64" s="129">
        <v>0</v>
      </c>
      <c r="AF64" s="129">
        <v>0</v>
      </c>
      <c r="AG64" s="129">
        <v>0</v>
      </c>
      <c r="AH64" s="129">
        <v>0</v>
      </c>
      <c r="AI64" s="129">
        <v>0</v>
      </c>
      <c r="AJ64" s="129">
        <v>0</v>
      </c>
      <c r="AK64" s="129">
        <v>0</v>
      </c>
      <c r="AL64" s="129">
        <v>0</v>
      </c>
      <c r="AM64" s="129">
        <v>0</v>
      </c>
      <c r="AN64" s="129">
        <v>0</v>
      </c>
      <c r="AO64" s="129">
        <v>0</v>
      </c>
      <c r="AP64" s="129">
        <v>0</v>
      </c>
      <c r="AQ64" s="129">
        <v>0</v>
      </c>
      <c r="AR64" s="129">
        <v>0</v>
      </c>
      <c r="AS64" s="129">
        <v>0</v>
      </c>
      <c r="AT64" s="129">
        <v>0</v>
      </c>
      <c r="AU64" s="129">
        <v>0</v>
      </c>
      <c r="AV64" s="129">
        <v>0</v>
      </c>
      <c r="AW64" s="129">
        <v>0</v>
      </c>
      <c r="AX64" s="129">
        <v>0</v>
      </c>
      <c r="AY64" s="129">
        <v>0</v>
      </c>
      <c r="AZ64" s="129">
        <v>0</v>
      </c>
      <c r="BA64" s="129">
        <v>0</v>
      </c>
      <c r="BB64" s="129">
        <v>0</v>
      </c>
      <c r="BC64" s="129">
        <v>0</v>
      </c>
      <c r="BD64" s="129">
        <v>0</v>
      </c>
      <c r="BE64" s="129">
        <v>0</v>
      </c>
      <c r="BF64" s="129">
        <v>0</v>
      </c>
      <c r="BG64" s="129">
        <v>0</v>
      </c>
      <c r="BH64" s="129">
        <v>0</v>
      </c>
      <c r="BI64" s="129">
        <v>0</v>
      </c>
      <c r="BJ64" s="129">
        <v>0</v>
      </c>
      <c r="BK64" s="129">
        <v>0</v>
      </c>
      <c r="BL64" s="129">
        <v>0</v>
      </c>
      <c r="BM64" s="129">
        <v>0</v>
      </c>
      <c r="BN64" s="129">
        <v>0</v>
      </c>
      <c r="BO64" s="129">
        <v>0</v>
      </c>
      <c r="BP64" s="129">
        <v>0</v>
      </c>
      <c r="BQ64" s="129">
        <v>0</v>
      </c>
      <c r="BR64" s="129">
        <v>0</v>
      </c>
      <c r="BS64" s="129">
        <v>0</v>
      </c>
      <c r="BT64" s="129">
        <v>0</v>
      </c>
      <c r="BU64" s="129">
        <v>0</v>
      </c>
      <c r="BV64" s="129">
        <v>0</v>
      </c>
      <c r="BW64" s="129">
        <v>0</v>
      </c>
      <c r="BX64" s="129">
        <v>0</v>
      </c>
      <c r="BY64" s="129">
        <v>0</v>
      </c>
      <c r="BZ64" s="129">
        <v>0</v>
      </c>
      <c r="CA64" s="129">
        <v>0</v>
      </c>
      <c r="CB64" s="129">
        <v>0</v>
      </c>
      <c r="CC64" s="129">
        <v>0</v>
      </c>
      <c r="CD64" s="129">
        <v>0</v>
      </c>
      <c r="CE64" s="129">
        <v>0</v>
      </c>
      <c r="CF64" s="129">
        <v>0</v>
      </c>
      <c r="CG64" s="129">
        <v>0</v>
      </c>
      <c r="CH64" s="129">
        <v>0</v>
      </c>
      <c r="CI64" s="129">
        <v>0</v>
      </c>
      <c r="CJ64" s="129">
        <v>0</v>
      </c>
      <c r="CK64" s="129">
        <v>0</v>
      </c>
      <c r="CL64" s="129">
        <v>0</v>
      </c>
      <c r="CM64" s="129">
        <v>0</v>
      </c>
      <c r="CN64" s="129">
        <v>0</v>
      </c>
      <c r="CO64" s="129">
        <v>0</v>
      </c>
      <c r="CP64" s="129">
        <v>0</v>
      </c>
      <c r="CQ64" s="129">
        <v>0</v>
      </c>
      <c r="CR64" s="129">
        <v>0</v>
      </c>
      <c r="CS64" s="129">
        <v>0</v>
      </c>
      <c r="CT64" s="129">
        <v>0</v>
      </c>
      <c r="CU64" s="129">
        <v>0</v>
      </c>
      <c r="CV64" s="129">
        <v>0</v>
      </c>
      <c r="CW64" s="129">
        <v>0</v>
      </c>
      <c r="CX64" s="129">
        <v>0</v>
      </c>
      <c r="CY64" s="129">
        <v>0</v>
      </c>
      <c r="CZ64" s="129">
        <v>0</v>
      </c>
      <c r="DA64" s="129">
        <v>0</v>
      </c>
      <c r="DB64" s="129">
        <v>0</v>
      </c>
      <c r="DC64" s="129">
        <v>0</v>
      </c>
      <c r="DD64" s="129">
        <v>0</v>
      </c>
      <c r="DE64" s="129">
        <v>0</v>
      </c>
      <c r="DF64" s="129">
        <v>0</v>
      </c>
      <c r="DG64" s="129">
        <v>0</v>
      </c>
      <c r="DH64" s="129">
        <v>0</v>
      </c>
      <c r="DI64" s="129">
        <v>0</v>
      </c>
      <c r="DJ64" s="129">
        <v>0</v>
      </c>
      <c r="DK64" s="129">
        <v>0</v>
      </c>
      <c r="DL64" s="129">
        <v>0</v>
      </c>
      <c r="DM64" s="129">
        <v>0</v>
      </c>
      <c r="DN64" s="129">
        <v>0</v>
      </c>
      <c r="DO64" s="129">
        <v>0</v>
      </c>
      <c r="DP64" s="129">
        <v>0</v>
      </c>
      <c r="DQ64" s="129">
        <v>0</v>
      </c>
      <c r="DR64" s="129">
        <v>0</v>
      </c>
      <c r="DS64" s="129">
        <v>0</v>
      </c>
      <c r="DT64" s="129">
        <v>0</v>
      </c>
      <c r="DU64" s="129">
        <v>0</v>
      </c>
      <c r="DV64" s="129">
        <v>0</v>
      </c>
      <c r="DW64" s="129">
        <v>0</v>
      </c>
      <c r="DX64" s="129">
        <v>0</v>
      </c>
      <c r="DY64" s="129">
        <v>0</v>
      </c>
      <c r="DZ64" s="129">
        <v>0</v>
      </c>
      <c r="EA64" s="129">
        <v>0</v>
      </c>
      <c r="EB64" s="129">
        <v>0</v>
      </c>
      <c r="EC64" s="129">
        <v>0</v>
      </c>
      <c r="ED64" s="129">
        <v>0</v>
      </c>
      <c r="EE64" s="129">
        <v>0</v>
      </c>
      <c r="EF64" s="129">
        <v>0</v>
      </c>
      <c r="EG64" s="129">
        <v>0</v>
      </c>
      <c r="EH64" s="129">
        <v>0</v>
      </c>
      <c r="EI64" s="129">
        <v>0</v>
      </c>
      <c r="EJ64" s="129">
        <v>0</v>
      </c>
      <c r="EK64" s="129">
        <v>0</v>
      </c>
      <c r="EL64" s="129">
        <v>0</v>
      </c>
      <c r="EM64" s="129">
        <v>0</v>
      </c>
      <c r="EN64" s="129">
        <v>0</v>
      </c>
      <c r="EO64" s="129">
        <v>0</v>
      </c>
      <c r="EP64" s="129">
        <v>0</v>
      </c>
      <c r="EQ64" s="129">
        <v>0</v>
      </c>
      <c r="ER64" s="129">
        <v>0</v>
      </c>
      <c r="ES64" s="129">
        <v>0</v>
      </c>
      <c r="ET64" s="129">
        <v>0</v>
      </c>
      <c r="EU64" s="129">
        <v>0</v>
      </c>
      <c r="EV64" s="129">
        <v>0</v>
      </c>
      <c r="EW64" s="129">
        <v>0</v>
      </c>
      <c r="EX64" s="129">
        <v>0</v>
      </c>
      <c r="EY64" s="129">
        <v>0</v>
      </c>
      <c r="EZ64" s="129">
        <v>0</v>
      </c>
      <c r="FA64" s="129">
        <v>0</v>
      </c>
      <c r="FB64" s="129">
        <v>0</v>
      </c>
      <c r="FC64" s="129">
        <v>0</v>
      </c>
      <c r="FD64" s="129">
        <v>0</v>
      </c>
      <c r="FE64" s="129">
        <v>0</v>
      </c>
      <c r="FF64" s="129">
        <v>0</v>
      </c>
      <c r="FG64" s="129">
        <v>0</v>
      </c>
      <c r="FH64" s="129">
        <v>0</v>
      </c>
      <c r="FI64" s="129">
        <v>0</v>
      </c>
      <c r="FJ64" s="129">
        <v>0</v>
      </c>
      <c r="FK64" s="129">
        <v>0</v>
      </c>
      <c r="FL64" s="129">
        <v>0</v>
      </c>
      <c r="FM64" s="129">
        <v>0</v>
      </c>
      <c r="FN64" s="129">
        <v>0</v>
      </c>
      <c r="FO64" s="129">
        <v>0</v>
      </c>
      <c r="FP64" s="129">
        <v>0</v>
      </c>
      <c r="FQ64" s="129">
        <v>0</v>
      </c>
      <c r="FR64" s="129">
        <v>0</v>
      </c>
      <c r="FS64" s="129">
        <v>0</v>
      </c>
      <c r="FT64" s="129">
        <v>0</v>
      </c>
      <c r="FU64" s="129">
        <v>0</v>
      </c>
      <c r="FV64" s="129">
        <v>0</v>
      </c>
      <c r="FW64" s="129">
        <v>0</v>
      </c>
      <c r="FX64" s="129">
        <v>0</v>
      </c>
      <c r="FY64" s="129">
        <v>0</v>
      </c>
      <c r="FZ64" s="129">
        <v>0</v>
      </c>
      <c r="GA64" s="129">
        <v>0</v>
      </c>
      <c r="GB64" s="129">
        <v>0</v>
      </c>
      <c r="GC64" s="129">
        <v>0</v>
      </c>
      <c r="GD64" s="129">
        <v>0</v>
      </c>
      <c r="GE64" s="129">
        <v>0</v>
      </c>
      <c r="GF64" s="129">
        <v>0</v>
      </c>
      <c r="GG64" s="129">
        <v>0</v>
      </c>
      <c r="GH64" s="129">
        <v>0</v>
      </c>
      <c r="GI64" s="129">
        <v>0</v>
      </c>
      <c r="GJ64" s="129">
        <v>0</v>
      </c>
      <c r="GK64" s="129">
        <v>0</v>
      </c>
      <c r="GL64" s="129">
        <v>0</v>
      </c>
      <c r="GM64" s="129">
        <v>0</v>
      </c>
      <c r="GN64" s="129">
        <v>0</v>
      </c>
      <c r="GO64" s="129">
        <v>0</v>
      </c>
      <c r="GP64" s="129">
        <v>0</v>
      </c>
      <c r="GQ64" s="129">
        <v>0</v>
      </c>
      <c r="GR64" s="129">
        <v>0</v>
      </c>
      <c r="GS64" s="129">
        <v>0</v>
      </c>
      <c r="GT64" s="129">
        <v>0</v>
      </c>
      <c r="GU64" s="129">
        <v>0</v>
      </c>
      <c r="GV64" s="129">
        <v>0</v>
      </c>
      <c r="GW64" s="129">
        <v>0</v>
      </c>
      <c r="GX64" s="129">
        <v>0</v>
      </c>
      <c r="GY64" s="129">
        <v>0</v>
      </c>
      <c r="GZ64" s="129">
        <v>0</v>
      </c>
      <c r="HA64" s="129">
        <v>0</v>
      </c>
      <c r="HB64" s="129">
        <v>0</v>
      </c>
      <c r="HC64" s="129">
        <v>0</v>
      </c>
      <c r="HD64" s="129">
        <v>0</v>
      </c>
      <c r="HE64" s="129">
        <v>0</v>
      </c>
      <c r="HF64" s="129">
        <v>0</v>
      </c>
      <c r="HG64" s="129">
        <v>0</v>
      </c>
      <c r="HH64" s="129">
        <v>0</v>
      </c>
      <c r="HI64" s="129">
        <v>0</v>
      </c>
      <c r="HJ64" s="129">
        <v>0</v>
      </c>
      <c r="HK64" s="129">
        <v>0</v>
      </c>
      <c r="HL64" s="129">
        <v>0</v>
      </c>
      <c r="HM64" s="129">
        <v>0</v>
      </c>
      <c r="HN64" s="129">
        <v>0</v>
      </c>
      <c r="HO64" s="129">
        <v>0</v>
      </c>
      <c r="HP64" s="129">
        <v>0</v>
      </c>
      <c r="HQ64" s="129">
        <v>0</v>
      </c>
      <c r="HR64" s="129">
        <v>0</v>
      </c>
      <c r="HS64" s="129">
        <v>0</v>
      </c>
      <c r="HT64" s="129">
        <v>0</v>
      </c>
      <c r="HU64" s="129">
        <v>0</v>
      </c>
      <c r="HV64" s="129">
        <v>0</v>
      </c>
      <c r="HW64" s="129">
        <v>0</v>
      </c>
      <c r="HX64" s="129">
        <v>0</v>
      </c>
      <c r="HY64" s="129">
        <v>0</v>
      </c>
      <c r="HZ64" s="129">
        <v>0</v>
      </c>
      <c r="IA64" s="129">
        <v>0</v>
      </c>
      <c r="IB64" s="129">
        <v>0</v>
      </c>
      <c r="IC64" s="129">
        <v>0</v>
      </c>
      <c r="ID64" s="129">
        <v>0</v>
      </c>
      <c r="IE64" s="129">
        <v>0</v>
      </c>
      <c r="IF64" s="129">
        <v>0</v>
      </c>
      <c r="IG64" s="129">
        <v>0</v>
      </c>
      <c r="IH64" s="129">
        <v>0</v>
      </c>
      <c r="II64" s="129">
        <v>0</v>
      </c>
      <c r="IJ64" s="129">
        <v>0</v>
      </c>
      <c r="IK64" s="129">
        <v>0</v>
      </c>
      <c r="IL64" s="129">
        <v>0</v>
      </c>
      <c r="IM64" s="129">
        <v>0</v>
      </c>
      <c r="IN64" s="129">
        <v>0</v>
      </c>
      <c r="IO64" s="129">
        <v>0</v>
      </c>
      <c r="IP64" s="129">
        <v>0</v>
      </c>
      <c r="IQ64" s="129">
        <v>0</v>
      </c>
      <c r="IR64" s="129">
        <v>0</v>
      </c>
      <c r="IS64" s="129">
        <v>0</v>
      </c>
      <c r="IT64" s="129">
        <v>0</v>
      </c>
      <c r="IU64" s="129">
        <v>0</v>
      </c>
      <c r="IV64" s="129">
        <v>0</v>
      </c>
      <c r="IW64" s="129">
        <v>0</v>
      </c>
      <c r="IX64" s="129">
        <v>0</v>
      </c>
      <c r="IY64" s="129">
        <v>0</v>
      </c>
      <c r="IZ64" s="129">
        <v>0</v>
      </c>
      <c r="JA64" s="129">
        <v>0</v>
      </c>
      <c r="JB64" s="129">
        <v>0</v>
      </c>
      <c r="JC64" s="129">
        <v>0</v>
      </c>
      <c r="JD64" s="129">
        <v>0</v>
      </c>
      <c r="JE64" s="129">
        <v>0</v>
      </c>
      <c r="JF64" s="129">
        <v>0</v>
      </c>
      <c r="JG64" s="129">
        <v>0</v>
      </c>
      <c r="JH64" s="129">
        <v>0</v>
      </c>
      <c r="JI64" s="129">
        <v>0</v>
      </c>
      <c r="JJ64" s="129">
        <v>0</v>
      </c>
      <c r="JK64" s="129">
        <v>0</v>
      </c>
      <c r="JL64" s="129">
        <v>0</v>
      </c>
      <c r="JM64" s="129">
        <v>0</v>
      </c>
      <c r="JN64" s="129">
        <v>0</v>
      </c>
      <c r="JO64" s="129">
        <v>0</v>
      </c>
      <c r="JP64" s="129">
        <v>0</v>
      </c>
      <c r="JQ64" s="129">
        <v>0</v>
      </c>
      <c r="JR64" s="129">
        <v>0</v>
      </c>
      <c r="JS64" s="129">
        <v>0</v>
      </c>
      <c r="JT64" s="129">
        <v>0</v>
      </c>
      <c r="JU64" s="129">
        <v>0</v>
      </c>
      <c r="JV64" s="129">
        <v>0</v>
      </c>
      <c r="JW64" s="129">
        <v>0</v>
      </c>
      <c r="JX64" s="129">
        <v>0</v>
      </c>
      <c r="JY64" s="129">
        <v>0</v>
      </c>
      <c r="JZ64" s="129">
        <v>0</v>
      </c>
      <c r="KA64" s="129">
        <v>0</v>
      </c>
      <c r="KB64" s="129">
        <v>0</v>
      </c>
      <c r="KC64" s="129">
        <v>0</v>
      </c>
      <c r="KD64" s="129">
        <v>0</v>
      </c>
      <c r="KE64" s="129">
        <v>0</v>
      </c>
      <c r="KF64" s="129">
        <v>0</v>
      </c>
      <c r="KG64" s="129">
        <v>0</v>
      </c>
      <c r="KH64" s="129">
        <v>0</v>
      </c>
      <c r="KI64" s="129">
        <v>0</v>
      </c>
      <c r="KJ64" s="129">
        <v>0</v>
      </c>
      <c r="KK64" s="129">
        <v>0</v>
      </c>
      <c r="KL64" s="129">
        <v>0</v>
      </c>
      <c r="KM64" s="129">
        <v>0</v>
      </c>
      <c r="KN64" s="129">
        <v>0</v>
      </c>
      <c r="KO64" s="129">
        <v>0</v>
      </c>
      <c r="KP64" s="129">
        <v>0</v>
      </c>
      <c r="KQ64" s="129">
        <v>0</v>
      </c>
      <c r="KR64" s="129">
        <v>0</v>
      </c>
      <c r="KS64" s="129">
        <v>0</v>
      </c>
      <c r="KT64" s="129">
        <v>0</v>
      </c>
      <c r="KU64" s="129">
        <v>0</v>
      </c>
      <c r="KV64" s="129">
        <v>0</v>
      </c>
      <c r="KW64" s="129">
        <v>0</v>
      </c>
      <c r="KX64" s="129">
        <v>0</v>
      </c>
      <c r="KY64" s="129">
        <v>0</v>
      </c>
      <c r="KZ64" s="129">
        <v>0</v>
      </c>
      <c r="LA64" s="129">
        <v>0</v>
      </c>
      <c r="LB64" s="129">
        <v>0</v>
      </c>
      <c r="LC64" s="129">
        <v>0</v>
      </c>
      <c r="LD64" s="129">
        <v>0</v>
      </c>
      <c r="LE64" s="129">
        <v>0</v>
      </c>
      <c r="LF64" s="129">
        <v>0</v>
      </c>
      <c r="LG64" s="129">
        <v>0</v>
      </c>
      <c r="LH64" s="129">
        <v>0</v>
      </c>
      <c r="LI64" s="129">
        <v>0</v>
      </c>
      <c r="LJ64" s="129">
        <v>0</v>
      </c>
      <c r="LK64" s="129">
        <v>0</v>
      </c>
      <c r="LL64" s="129">
        <v>0</v>
      </c>
      <c r="LM64" s="129">
        <v>0</v>
      </c>
      <c r="LN64" s="129">
        <v>0</v>
      </c>
      <c r="LO64" s="129">
        <v>0</v>
      </c>
      <c r="LP64" s="129">
        <v>0</v>
      </c>
      <c r="LQ64" s="129">
        <v>0</v>
      </c>
      <c r="LR64" s="129">
        <v>0</v>
      </c>
      <c r="LS64" s="129">
        <v>0</v>
      </c>
      <c r="LT64" s="129">
        <v>0</v>
      </c>
      <c r="LU64" s="129">
        <v>0</v>
      </c>
      <c r="LV64" s="129">
        <v>0</v>
      </c>
      <c r="LW64" s="129">
        <v>0</v>
      </c>
      <c r="LX64" s="129">
        <v>0</v>
      </c>
      <c r="LY64" s="129">
        <v>0</v>
      </c>
      <c r="LZ64" s="129">
        <v>0</v>
      </c>
      <c r="MA64" s="129">
        <v>0</v>
      </c>
      <c r="MB64" s="129">
        <v>0</v>
      </c>
      <c r="MC64" s="129">
        <v>0</v>
      </c>
      <c r="MD64" s="129">
        <v>0</v>
      </c>
      <c r="ME64" s="129">
        <v>0</v>
      </c>
      <c r="MF64" s="129">
        <v>0</v>
      </c>
      <c r="MG64" s="129">
        <v>0</v>
      </c>
      <c r="MH64" s="129">
        <v>0</v>
      </c>
      <c r="MI64" s="129">
        <v>0</v>
      </c>
      <c r="MJ64" s="129">
        <v>0</v>
      </c>
      <c r="MK64" s="129">
        <v>0</v>
      </c>
      <c r="ML64" s="129">
        <v>0</v>
      </c>
      <c r="MM64" s="129">
        <v>0</v>
      </c>
      <c r="MN64" s="129">
        <v>0</v>
      </c>
      <c r="MO64" s="129">
        <v>0</v>
      </c>
      <c r="MP64" s="129">
        <v>0</v>
      </c>
      <c r="MQ64" s="129">
        <v>0</v>
      </c>
      <c r="MR64" s="129">
        <v>0</v>
      </c>
      <c r="MS64" s="129">
        <v>0</v>
      </c>
      <c r="MT64" s="129">
        <v>0</v>
      </c>
      <c r="MU64" s="129">
        <v>0</v>
      </c>
      <c r="MV64" s="129">
        <v>0</v>
      </c>
      <c r="MW64" s="129">
        <v>0</v>
      </c>
      <c r="MX64" s="129">
        <v>0</v>
      </c>
      <c r="MY64" s="129">
        <v>0</v>
      </c>
      <c r="MZ64" s="129">
        <v>0</v>
      </c>
      <c r="NA64" s="129">
        <v>0</v>
      </c>
      <c r="NB64" s="129">
        <v>0</v>
      </c>
      <c r="NC64" s="129">
        <v>0</v>
      </c>
      <c r="ND64" s="129">
        <v>0</v>
      </c>
      <c r="NE64" s="129">
        <v>0</v>
      </c>
      <c r="NF64" s="129">
        <v>0</v>
      </c>
      <c r="NG64" s="129">
        <v>0</v>
      </c>
      <c r="NH64" s="129">
        <v>0</v>
      </c>
      <c r="NI64" s="129">
        <v>0</v>
      </c>
      <c r="NJ64" s="129">
        <v>0</v>
      </c>
      <c r="NK64" s="129">
        <v>0</v>
      </c>
      <c r="NL64" s="129">
        <v>0</v>
      </c>
      <c r="NM64" s="129">
        <v>0</v>
      </c>
      <c r="NN64" s="129">
        <v>0</v>
      </c>
      <c r="NO64" s="129">
        <v>0</v>
      </c>
      <c r="NP64" s="129">
        <v>0</v>
      </c>
      <c r="NQ64" s="129">
        <v>0</v>
      </c>
      <c r="NR64" s="129">
        <v>0</v>
      </c>
      <c r="NS64" s="129">
        <v>0</v>
      </c>
      <c r="NT64" s="129">
        <v>0</v>
      </c>
      <c r="NU64" s="129">
        <v>0</v>
      </c>
      <c r="NV64" s="129">
        <v>0</v>
      </c>
      <c r="NW64" s="129">
        <v>0</v>
      </c>
      <c r="NX64" s="129">
        <v>0</v>
      </c>
      <c r="NY64" s="129">
        <v>0</v>
      </c>
      <c r="NZ64" s="129">
        <v>0</v>
      </c>
      <c r="OA64" s="129">
        <v>0</v>
      </c>
      <c r="OB64" s="129">
        <v>0</v>
      </c>
      <c r="OC64" s="129">
        <v>0</v>
      </c>
      <c r="OD64" s="129">
        <v>0</v>
      </c>
      <c r="OE64" s="129">
        <v>0</v>
      </c>
      <c r="OF64" s="129">
        <v>0</v>
      </c>
      <c r="OG64" s="129">
        <v>0</v>
      </c>
      <c r="OH64" s="133">
        <v>0</v>
      </c>
    </row>
    <row r="65" spans="1:398" x14ac:dyDescent="0.35">
      <c r="A65" s="102"/>
      <c r="B65" s="168">
        <f t="shared" si="8"/>
        <v>37</v>
      </c>
      <c r="C65" s="171" t="s">
        <v>903</v>
      </c>
      <c r="D65" s="124" t="s">
        <v>751</v>
      </c>
      <c r="E65" s="124" t="s">
        <v>909</v>
      </c>
      <c r="F65" s="125" t="s">
        <v>961</v>
      </c>
      <c r="G65" s="125" t="s">
        <v>738</v>
      </c>
      <c r="H65" s="125" t="s">
        <v>912</v>
      </c>
      <c r="I65" s="129">
        <v>0</v>
      </c>
      <c r="J65" s="129">
        <v>0</v>
      </c>
      <c r="K65" s="129">
        <v>0</v>
      </c>
      <c r="L65" s="129">
        <v>0</v>
      </c>
      <c r="M65" s="129">
        <v>0</v>
      </c>
      <c r="N65" s="129">
        <v>0</v>
      </c>
      <c r="O65" s="130">
        <f>SUM(P65,R65)</f>
        <v>0</v>
      </c>
      <c r="P65" s="129">
        <v>0</v>
      </c>
      <c r="Q65" s="129">
        <v>0</v>
      </c>
      <c r="R65" s="165"/>
      <c r="S65" s="165"/>
      <c r="T65" s="129">
        <v>0</v>
      </c>
      <c r="U65" s="129">
        <v>0</v>
      </c>
      <c r="V65" s="129">
        <v>0</v>
      </c>
      <c r="W65" s="129">
        <v>0</v>
      </c>
      <c r="X65" s="129">
        <v>0</v>
      </c>
      <c r="Y65" s="129">
        <v>0</v>
      </c>
      <c r="Z65" s="129">
        <v>0</v>
      </c>
      <c r="AA65" s="129">
        <v>0</v>
      </c>
      <c r="AB65" s="129">
        <v>0</v>
      </c>
      <c r="AC65" s="129">
        <v>0</v>
      </c>
      <c r="AD65" s="129">
        <v>0</v>
      </c>
      <c r="AE65" s="129">
        <v>0</v>
      </c>
      <c r="AF65" s="129">
        <v>0</v>
      </c>
      <c r="AG65" s="129">
        <v>0</v>
      </c>
      <c r="AH65" s="129">
        <v>0</v>
      </c>
      <c r="AI65" s="129">
        <v>0</v>
      </c>
      <c r="AJ65" s="129">
        <v>0</v>
      </c>
      <c r="AK65" s="129">
        <v>0</v>
      </c>
      <c r="AL65" s="129">
        <v>0</v>
      </c>
      <c r="AM65" s="129">
        <v>0</v>
      </c>
      <c r="AN65" s="129">
        <v>0</v>
      </c>
      <c r="AO65" s="129">
        <v>0</v>
      </c>
      <c r="AP65" s="129">
        <v>0</v>
      </c>
      <c r="AQ65" s="129">
        <v>0</v>
      </c>
      <c r="AR65" s="129">
        <v>0</v>
      </c>
      <c r="AS65" s="129">
        <v>0</v>
      </c>
      <c r="AT65" s="129">
        <v>0</v>
      </c>
      <c r="AU65" s="129">
        <v>0</v>
      </c>
      <c r="AV65" s="129">
        <v>0</v>
      </c>
      <c r="AW65" s="129">
        <v>0</v>
      </c>
      <c r="AX65" s="129">
        <v>0</v>
      </c>
      <c r="AY65" s="129">
        <v>0</v>
      </c>
      <c r="AZ65" s="129">
        <v>0</v>
      </c>
      <c r="BA65" s="129">
        <v>0</v>
      </c>
      <c r="BB65" s="129">
        <v>0</v>
      </c>
      <c r="BC65" s="129">
        <v>0</v>
      </c>
      <c r="BD65" s="129">
        <v>0</v>
      </c>
      <c r="BE65" s="129">
        <v>0</v>
      </c>
      <c r="BF65" s="129">
        <v>0</v>
      </c>
      <c r="BG65" s="129">
        <v>0</v>
      </c>
      <c r="BH65" s="129">
        <v>0</v>
      </c>
      <c r="BI65" s="129">
        <v>0</v>
      </c>
      <c r="BJ65" s="129">
        <v>0</v>
      </c>
      <c r="BK65" s="129">
        <v>0</v>
      </c>
      <c r="BL65" s="129">
        <v>0</v>
      </c>
      <c r="BM65" s="129">
        <v>0</v>
      </c>
      <c r="BN65" s="129">
        <v>0</v>
      </c>
      <c r="BO65" s="129">
        <v>0</v>
      </c>
      <c r="BP65" s="129">
        <v>0</v>
      </c>
      <c r="BQ65" s="129">
        <v>0</v>
      </c>
      <c r="BR65" s="129">
        <v>0</v>
      </c>
      <c r="BS65" s="129">
        <v>0</v>
      </c>
      <c r="BT65" s="129">
        <v>0</v>
      </c>
      <c r="BU65" s="129">
        <v>0</v>
      </c>
      <c r="BV65" s="129">
        <v>0</v>
      </c>
      <c r="BW65" s="129">
        <v>0</v>
      </c>
      <c r="BX65" s="129">
        <v>0</v>
      </c>
      <c r="BY65" s="129">
        <v>0</v>
      </c>
      <c r="BZ65" s="129">
        <v>0</v>
      </c>
      <c r="CA65" s="129">
        <v>0</v>
      </c>
      <c r="CB65" s="129">
        <v>0</v>
      </c>
      <c r="CC65" s="129">
        <v>0</v>
      </c>
      <c r="CD65" s="129">
        <v>0</v>
      </c>
      <c r="CE65" s="129">
        <v>0</v>
      </c>
      <c r="CF65" s="129">
        <v>0</v>
      </c>
      <c r="CG65" s="129">
        <v>0</v>
      </c>
      <c r="CH65" s="129">
        <v>0</v>
      </c>
      <c r="CI65" s="129">
        <v>0</v>
      </c>
      <c r="CJ65" s="129">
        <v>0</v>
      </c>
      <c r="CK65" s="129">
        <v>0</v>
      </c>
      <c r="CL65" s="129">
        <v>0</v>
      </c>
      <c r="CM65" s="129">
        <v>0</v>
      </c>
      <c r="CN65" s="129">
        <v>0</v>
      </c>
      <c r="CO65" s="129">
        <v>0</v>
      </c>
      <c r="CP65" s="129">
        <v>0</v>
      </c>
      <c r="CQ65" s="129">
        <v>0</v>
      </c>
      <c r="CR65" s="129">
        <v>0</v>
      </c>
      <c r="CS65" s="129">
        <v>0</v>
      </c>
      <c r="CT65" s="129">
        <v>0</v>
      </c>
      <c r="CU65" s="129">
        <v>0</v>
      </c>
      <c r="CV65" s="129">
        <v>0</v>
      </c>
      <c r="CW65" s="129">
        <v>0</v>
      </c>
      <c r="CX65" s="129">
        <v>0</v>
      </c>
      <c r="CY65" s="129">
        <v>0</v>
      </c>
      <c r="CZ65" s="129">
        <v>0</v>
      </c>
      <c r="DA65" s="129">
        <v>0</v>
      </c>
      <c r="DB65" s="129">
        <v>0</v>
      </c>
      <c r="DC65" s="129">
        <v>0</v>
      </c>
      <c r="DD65" s="129">
        <v>0</v>
      </c>
      <c r="DE65" s="129">
        <v>0</v>
      </c>
      <c r="DF65" s="129">
        <v>0</v>
      </c>
      <c r="DG65" s="129">
        <v>0</v>
      </c>
      <c r="DH65" s="129">
        <v>0</v>
      </c>
      <c r="DI65" s="129">
        <v>0</v>
      </c>
      <c r="DJ65" s="129">
        <v>0</v>
      </c>
      <c r="DK65" s="129">
        <v>0</v>
      </c>
      <c r="DL65" s="129">
        <v>0</v>
      </c>
      <c r="DM65" s="129">
        <v>0</v>
      </c>
      <c r="DN65" s="129">
        <v>0</v>
      </c>
      <c r="DO65" s="129">
        <v>0</v>
      </c>
      <c r="DP65" s="129">
        <v>0</v>
      </c>
      <c r="DQ65" s="129">
        <v>0</v>
      </c>
      <c r="DR65" s="129">
        <v>0</v>
      </c>
      <c r="DS65" s="129">
        <v>0</v>
      </c>
      <c r="DT65" s="129">
        <v>0</v>
      </c>
      <c r="DU65" s="129">
        <v>0</v>
      </c>
      <c r="DV65" s="129">
        <v>0</v>
      </c>
      <c r="DW65" s="129">
        <v>0</v>
      </c>
      <c r="DX65" s="129">
        <v>0</v>
      </c>
      <c r="DY65" s="129">
        <v>0</v>
      </c>
      <c r="DZ65" s="129">
        <v>0</v>
      </c>
      <c r="EA65" s="129">
        <v>0</v>
      </c>
      <c r="EB65" s="129">
        <v>0</v>
      </c>
      <c r="EC65" s="129">
        <v>0</v>
      </c>
      <c r="ED65" s="129">
        <v>0</v>
      </c>
      <c r="EE65" s="129">
        <v>0</v>
      </c>
      <c r="EF65" s="129">
        <v>0</v>
      </c>
      <c r="EG65" s="129">
        <v>0</v>
      </c>
      <c r="EH65" s="129">
        <v>0</v>
      </c>
      <c r="EI65" s="129">
        <v>0</v>
      </c>
      <c r="EJ65" s="129">
        <v>0</v>
      </c>
      <c r="EK65" s="129">
        <v>0</v>
      </c>
      <c r="EL65" s="129">
        <v>0</v>
      </c>
      <c r="EM65" s="129">
        <v>0</v>
      </c>
      <c r="EN65" s="129">
        <v>0</v>
      </c>
      <c r="EO65" s="129">
        <v>0</v>
      </c>
      <c r="EP65" s="129">
        <v>0</v>
      </c>
      <c r="EQ65" s="129">
        <v>0</v>
      </c>
      <c r="ER65" s="129">
        <v>0</v>
      </c>
      <c r="ES65" s="129">
        <v>0</v>
      </c>
      <c r="ET65" s="129">
        <v>0</v>
      </c>
      <c r="EU65" s="129">
        <v>0</v>
      </c>
      <c r="EV65" s="129">
        <v>0</v>
      </c>
      <c r="EW65" s="129">
        <v>0</v>
      </c>
      <c r="EX65" s="129">
        <v>0</v>
      </c>
      <c r="EY65" s="129">
        <v>0</v>
      </c>
      <c r="EZ65" s="129">
        <v>0</v>
      </c>
      <c r="FA65" s="129">
        <v>0</v>
      </c>
      <c r="FB65" s="129">
        <v>0</v>
      </c>
      <c r="FC65" s="129">
        <v>0</v>
      </c>
      <c r="FD65" s="129">
        <v>0</v>
      </c>
      <c r="FE65" s="129">
        <v>0</v>
      </c>
      <c r="FF65" s="129">
        <v>0</v>
      </c>
      <c r="FG65" s="129">
        <v>0</v>
      </c>
      <c r="FH65" s="129">
        <v>0</v>
      </c>
      <c r="FI65" s="129">
        <v>0</v>
      </c>
      <c r="FJ65" s="129">
        <v>0</v>
      </c>
      <c r="FK65" s="129">
        <v>0</v>
      </c>
      <c r="FL65" s="129">
        <v>0</v>
      </c>
      <c r="FM65" s="129">
        <v>0</v>
      </c>
      <c r="FN65" s="129">
        <v>0</v>
      </c>
      <c r="FO65" s="129">
        <v>0</v>
      </c>
      <c r="FP65" s="129">
        <v>0</v>
      </c>
      <c r="FQ65" s="129">
        <v>0</v>
      </c>
      <c r="FR65" s="129">
        <v>0</v>
      </c>
      <c r="FS65" s="129">
        <v>0</v>
      </c>
      <c r="FT65" s="129">
        <v>0</v>
      </c>
      <c r="FU65" s="129">
        <v>0</v>
      </c>
      <c r="FV65" s="129">
        <v>0</v>
      </c>
      <c r="FW65" s="129">
        <v>0</v>
      </c>
      <c r="FX65" s="129">
        <v>0</v>
      </c>
      <c r="FY65" s="129">
        <v>0</v>
      </c>
      <c r="FZ65" s="129">
        <v>0</v>
      </c>
      <c r="GA65" s="129">
        <v>0</v>
      </c>
      <c r="GB65" s="129">
        <v>0</v>
      </c>
      <c r="GC65" s="129">
        <v>0</v>
      </c>
      <c r="GD65" s="129">
        <v>0</v>
      </c>
      <c r="GE65" s="129">
        <v>0</v>
      </c>
      <c r="GF65" s="129">
        <v>0</v>
      </c>
      <c r="GG65" s="129">
        <v>0</v>
      </c>
      <c r="GH65" s="129">
        <v>0</v>
      </c>
      <c r="GI65" s="129">
        <v>0</v>
      </c>
      <c r="GJ65" s="129">
        <v>0</v>
      </c>
      <c r="GK65" s="129">
        <v>0</v>
      </c>
      <c r="GL65" s="129">
        <v>0</v>
      </c>
      <c r="GM65" s="129">
        <v>0</v>
      </c>
      <c r="GN65" s="129">
        <v>0</v>
      </c>
      <c r="GO65" s="129">
        <v>0</v>
      </c>
      <c r="GP65" s="129">
        <v>0</v>
      </c>
      <c r="GQ65" s="129">
        <v>0</v>
      </c>
      <c r="GR65" s="129">
        <v>0</v>
      </c>
      <c r="GS65" s="129">
        <v>0</v>
      </c>
      <c r="GT65" s="129">
        <v>0</v>
      </c>
      <c r="GU65" s="129">
        <v>0</v>
      </c>
      <c r="GV65" s="129">
        <v>0</v>
      </c>
      <c r="GW65" s="129">
        <v>0</v>
      </c>
      <c r="GX65" s="129">
        <v>0</v>
      </c>
      <c r="GY65" s="129">
        <v>0</v>
      </c>
      <c r="GZ65" s="129">
        <v>0</v>
      </c>
      <c r="HA65" s="129">
        <v>0</v>
      </c>
      <c r="HB65" s="129">
        <v>0</v>
      </c>
      <c r="HC65" s="129">
        <v>0</v>
      </c>
      <c r="HD65" s="129">
        <v>0</v>
      </c>
      <c r="HE65" s="129">
        <v>0</v>
      </c>
      <c r="HF65" s="129">
        <v>0</v>
      </c>
      <c r="HG65" s="129">
        <v>0</v>
      </c>
      <c r="HH65" s="129">
        <v>0</v>
      </c>
      <c r="HI65" s="129">
        <v>0</v>
      </c>
      <c r="HJ65" s="129">
        <v>0</v>
      </c>
      <c r="HK65" s="129">
        <v>0</v>
      </c>
      <c r="HL65" s="129">
        <v>0</v>
      </c>
      <c r="HM65" s="129">
        <v>0</v>
      </c>
      <c r="HN65" s="129">
        <v>0</v>
      </c>
      <c r="HO65" s="129">
        <v>0</v>
      </c>
      <c r="HP65" s="129">
        <v>0</v>
      </c>
      <c r="HQ65" s="129">
        <v>0</v>
      </c>
      <c r="HR65" s="129">
        <v>0</v>
      </c>
      <c r="HS65" s="129">
        <v>0</v>
      </c>
      <c r="HT65" s="129">
        <v>0</v>
      </c>
      <c r="HU65" s="129">
        <v>0</v>
      </c>
      <c r="HV65" s="129">
        <v>0</v>
      </c>
      <c r="HW65" s="129">
        <v>0</v>
      </c>
      <c r="HX65" s="129">
        <v>0</v>
      </c>
      <c r="HY65" s="129">
        <v>0</v>
      </c>
      <c r="HZ65" s="129">
        <v>0</v>
      </c>
      <c r="IA65" s="129">
        <v>0</v>
      </c>
      <c r="IB65" s="129">
        <v>0</v>
      </c>
      <c r="IC65" s="129">
        <v>0</v>
      </c>
      <c r="ID65" s="129">
        <v>0</v>
      </c>
      <c r="IE65" s="129">
        <v>0</v>
      </c>
      <c r="IF65" s="129">
        <v>0</v>
      </c>
      <c r="IG65" s="129">
        <v>0</v>
      </c>
      <c r="IH65" s="129">
        <v>0</v>
      </c>
      <c r="II65" s="129">
        <v>0</v>
      </c>
      <c r="IJ65" s="129">
        <v>0</v>
      </c>
      <c r="IK65" s="129">
        <v>0</v>
      </c>
      <c r="IL65" s="129">
        <v>0</v>
      </c>
      <c r="IM65" s="129">
        <v>0</v>
      </c>
      <c r="IN65" s="129">
        <v>0</v>
      </c>
      <c r="IO65" s="129">
        <v>0</v>
      </c>
      <c r="IP65" s="129">
        <v>0</v>
      </c>
      <c r="IQ65" s="129">
        <v>0</v>
      </c>
      <c r="IR65" s="129">
        <v>0</v>
      </c>
      <c r="IS65" s="129">
        <v>0</v>
      </c>
      <c r="IT65" s="129">
        <v>0</v>
      </c>
      <c r="IU65" s="129">
        <v>0</v>
      </c>
      <c r="IV65" s="129">
        <v>0</v>
      </c>
      <c r="IW65" s="129">
        <v>0</v>
      </c>
      <c r="IX65" s="129">
        <v>0</v>
      </c>
      <c r="IY65" s="129">
        <v>0</v>
      </c>
      <c r="IZ65" s="129">
        <v>0</v>
      </c>
      <c r="JA65" s="129">
        <v>0</v>
      </c>
      <c r="JB65" s="129">
        <v>0</v>
      </c>
      <c r="JC65" s="129">
        <v>0</v>
      </c>
      <c r="JD65" s="129">
        <v>0</v>
      </c>
      <c r="JE65" s="129">
        <v>0</v>
      </c>
      <c r="JF65" s="129">
        <v>0</v>
      </c>
      <c r="JG65" s="129">
        <v>0</v>
      </c>
      <c r="JH65" s="129">
        <v>0</v>
      </c>
      <c r="JI65" s="129">
        <v>0</v>
      </c>
      <c r="JJ65" s="129">
        <v>0</v>
      </c>
      <c r="JK65" s="129">
        <v>0</v>
      </c>
      <c r="JL65" s="129">
        <v>0</v>
      </c>
      <c r="JM65" s="129">
        <v>0</v>
      </c>
      <c r="JN65" s="129">
        <v>0</v>
      </c>
      <c r="JO65" s="129">
        <v>0</v>
      </c>
      <c r="JP65" s="129">
        <v>0</v>
      </c>
      <c r="JQ65" s="129">
        <v>0</v>
      </c>
      <c r="JR65" s="129">
        <v>0</v>
      </c>
      <c r="JS65" s="129">
        <v>0</v>
      </c>
      <c r="JT65" s="129">
        <v>0</v>
      </c>
      <c r="JU65" s="129">
        <v>0</v>
      </c>
      <c r="JV65" s="129">
        <v>0</v>
      </c>
      <c r="JW65" s="129">
        <v>0</v>
      </c>
      <c r="JX65" s="129">
        <v>0</v>
      </c>
      <c r="JY65" s="129">
        <v>0</v>
      </c>
      <c r="JZ65" s="129">
        <v>0</v>
      </c>
      <c r="KA65" s="129">
        <v>0</v>
      </c>
      <c r="KB65" s="129">
        <v>0</v>
      </c>
      <c r="KC65" s="129">
        <v>0</v>
      </c>
      <c r="KD65" s="129">
        <v>0</v>
      </c>
      <c r="KE65" s="129">
        <v>0</v>
      </c>
      <c r="KF65" s="129">
        <v>0</v>
      </c>
      <c r="KG65" s="129">
        <v>0</v>
      </c>
      <c r="KH65" s="129">
        <v>0</v>
      </c>
      <c r="KI65" s="129">
        <v>0</v>
      </c>
      <c r="KJ65" s="129">
        <v>0</v>
      </c>
      <c r="KK65" s="129">
        <v>0</v>
      </c>
      <c r="KL65" s="129">
        <v>0</v>
      </c>
      <c r="KM65" s="129">
        <v>0</v>
      </c>
      <c r="KN65" s="129">
        <v>0</v>
      </c>
      <c r="KO65" s="129">
        <v>0</v>
      </c>
      <c r="KP65" s="129">
        <v>0</v>
      </c>
      <c r="KQ65" s="129">
        <v>0</v>
      </c>
      <c r="KR65" s="129">
        <v>0</v>
      </c>
      <c r="KS65" s="129">
        <v>0</v>
      </c>
      <c r="KT65" s="129">
        <v>0</v>
      </c>
      <c r="KU65" s="129">
        <v>0</v>
      </c>
      <c r="KV65" s="129">
        <v>0</v>
      </c>
      <c r="KW65" s="129">
        <v>0</v>
      </c>
      <c r="KX65" s="129">
        <v>0</v>
      </c>
      <c r="KY65" s="129">
        <v>0</v>
      </c>
      <c r="KZ65" s="129">
        <v>0</v>
      </c>
      <c r="LA65" s="129">
        <v>0</v>
      </c>
      <c r="LB65" s="129">
        <v>0</v>
      </c>
      <c r="LC65" s="129">
        <v>0</v>
      </c>
      <c r="LD65" s="129">
        <v>0</v>
      </c>
      <c r="LE65" s="129">
        <v>0</v>
      </c>
      <c r="LF65" s="129">
        <v>0</v>
      </c>
      <c r="LG65" s="129">
        <v>0</v>
      </c>
      <c r="LH65" s="129">
        <v>0</v>
      </c>
      <c r="LI65" s="129">
        <v>0</v>
      </c>
      <c r="LJ65" s="129">
        <v>0</v>
      </c>
      <c r="LK65" s="129">
        <v>0</v>
      </c>
      <c r="LL65" s="129">
        <v>0</v>
      </c>
      <c r="LM65" s="129">
        <v>0</v>
      </c>
      <c r="LN65" s="129">
        <v>0</v>
      </c>
      <c r="LO65" s="129">
        <v>0</v>
      </c>
      <c r="LP65" s="129">
        <v>0</v>
      </c>
      <c r="LQ65" s="129">
        <v>0</v>
      </c>
      <c r="LR65" s="129">
        <v>0</v>
      </c>
      <c r="LS65" s="129">
        <v>0</v>
      </c>
      <c r="LT65" s="129">
        <v>0</v>
      </c>
      <c r="LU65" s="129">
        <v>0</v>
      </c>
      <c r="LV65" s="129">
        <v>0</v>
      </c>
      <c r="LW65" s="129">
        <v>0</v>
      </c>
      <c r="LX65" s="129">
        <v>0</v>
      </c>
      <c r="LY65" s="129">
        <v>0</v>
      </c>
      <c r="LZ65" s="129">
        <v>0</v>
      </c>
      <c r="MA65" s="129">
        <v>0</v>
      </c>
      <c r="MB65" s="129">
        <v>0</v>
      </c>
      <c r="MC65" s="129">
        <v>0</v>
      </c>
      <c r="MD65" s="129">
        <v>0</v>
      </c>
      <c r="ME65" s="129">
        <v>0</v>
      </c>
      <c r="MF65" s="129">
        <v>0</v>
      </c>
      <c r="MG65" s="129">
        <v>0</v>
      </c>
      <c r="MH65" s="129">
        <v>0</v>
      </c>
      <c r="MI65" s="129">
        <v>0</v>
      </c>
      <c r="MJ65" s="129">
        <v>0</v>
      </c>
      <c r="MK65" s="129">
        <v>0</v>
      </c>
      <c r="ML65" s="129">
        <v>0</v>
      </c>
      <c r="MM65" s="129">
        <v>0</v>
      </c>
      <c r="MN65" s="129">
        <v>0</v>
      </c>
      <c r="MO65" s="129">
        <v>0</v>
      </c>
      <c r="MP65" s="129">
        <v>0</v>
      </c>
      <c r="MQ65" s="129">
        <v>0</v>
      </c>
      <c r="MR65" s="129">
        <v>0</v>
      </c>
      <c r="MS65" s="129">
        <v>0</v>
      </c>
      <c r="MT65" s="129">
        <v>0</v>
      </c>
      <c r="MU65" s="129">
        <v>0</v>
      </c>
      <c r="MV65" s="129">
        <v>0</v>
      </c>
      <c r="MW65" s="129">
        <v>0</v>
      </c>
      <c r="MX65" s="129">
        <v>0</v>
      </c>
      <c r="MY65" s="129">
        <v>0</v>
      </c>
      <c r="MZ65" s="129">
        <v>0</v>
      </c>
      <c r="NA65" s="129">
        <v>0</v>
      </c>
      <c r="NB65" s="129">
        <v>0</v>
      </c>
      <c r="NC65" s="129">
        <v>0</v>
      </c>
      <c r="ND65" s="129">
        <v>0</v>
      </c>
      <c r="NE65" s="129">
        <v>0</v>
      </c>
      <c r="NF65" s="129">
        <v>0</v>
      </c>
      <c r="NG65" s="129">
        <v>0</v>
      </c>
      <c r="NH65" s="129">
        <v>0</v>
      </c>
      <c r="NI65" s="129">
        <v>0</v>
      </c>
      <c r="NJ65" s="129">
        <v>0</v>
      </c>
      <c r="NK65" s="129">
        <v>0</v>
      </c>
      <c r="NL65" s="129">
        <v>0</v>
      </c>
      <c r="NM65" s="129">
        <v>0</v>
      </c>
      <c r="NN65" s="129">
        <v>0</v>
      </c>
      <c r="NO65" s="129">
        <v>0</v>
      </c>
      <c r="NP65" s="129">
        <v>0</v>
      </c>
      <c r="NQ65" s="129">
        <v>0</v>
      </c>
      <c r="NR65" s="129">
        <v>0</v>
      </c>
      <c r="NS65" s="129">
        <v>0</v>
      </c>
      <c r="NT65" s="129">
        <v>0</v>
      </c>
      <c r="NU65" s="129">
        <v>0</v>
      </c>
      <c r="NV65" s="129">
        <v>0</v>
      </c>
      <c r="NW65" s="129">
        <v>0</v>
      </c>
      <c r="NX65" s="129">
        <v>0</v>
      </c>
      <c r="NY65" s="129">
        <v>0</v>
      </c>
      <c r="NZ65" s="129">
        <v>0</v>
      </c>
      <c r="OA65" s="129">
        <v>0</v>
      </c>
      <c r="OB65" s="129">
        <v>0</v>
      </c>
      <c r="OC65" s="129">
        <v>0</v>
      </c>
      <c r="OD65" s="129">
        <v>0</v>
      </c>
      <c r="OE65" s="129">
        <v>0</v>
      </c>
      <c r="OF65" s="129">
        <v>0</v>
      </c>
      <c r="OG65" s="129">
        <v>0</v>
      </c>
      <c r="OH65" s="133">
        <v>0</v>
      </c>
    </row>
    <row r="66" spans="1:398" ht="15" thickBot="1" x14ac:dyDescent="0.4">
      <c r="A66" s="102"/>
      <c r="B66" s="168">
        <f t="shared" si="8"/>
        <v>38</v>
      </c>
      <c r="C66" s="171" t="s">
        <v>903</v>
      </c>
      <c r="D66" s="124" t="s">
        <v>751</v>
      </c>
      <c r="E66" s="124" t="s">
        <v>913</v>
      </c>
      <c r="F66" s="125" t="s">
        <v>738</v>
      </c>
      <c r="G66" s="125" t="s">
        <v>738</v>
      </c>
      <c r="H66" s="125" t="s">
        <v>738</v>
      </c>
      <c r="I66" s="134">
        <f>SUM(I62:I65)</f>
        <v>0</v>
      </c>
      <c r="J66" s="134">
        <f>SUM(J62:J65)</f>
        <v>0</v>
      </c>
      <c r="K66" s="134">
        <f>SUM(K62:K65)</f>
        <v>0</v>
      </c>
      <c r="L66" s="134">
        <f t="shared" ref="L66:R66" si="30">SUM(L62:L65)</f>
        <v>0</v>
      </c>
      <c r="M66" s="134">
        <f t="shared" si="30"/>
        <v>0</v>
      </c>
      <c r="N66" s="134">
        <f t="shared" si="30"/>
        <v>0</v>
      </c>
      <c r="O66" s="134">
        <f t="shared" si="30"/>
        <v>0</v>
      </c>
      <c r="P66" s="134">
        <f t="shared" si="30"/>
        <v>0</v>
      </c>
      <c r="Q66" s="134">
        <f t="shared" si="30"/>
        <v>0</v>
      </c>
      <c r="R66" s="134">
        <f t="shared" si="30"/>
        <v>0</v>
      </c>
      <c r="S66" s="134">
        <f t="shared" ref="S66" si="31">SUM(S62:S65)</f>
        <v>0</v>
      </c>
      <c r="T66" s="134">
        <f t="shared" ref="T66:CB66" si="32">SUM(T62:T65)</f>
        <v>0</v>
      </c>
      <c r="U66" s="134">
        <f t="shared" si="32"/>
        <v>0</v>
      </c>
      <c r="V66" s="134">
        <f t="shared" si="32"/>
        <v>0</v>
      </c>
      <c r="W66" s="134">
        <f t="shared" si="32"/>
        <v>0</v>
      </c>
      <c r="X66" s="134">
        <f t="shared" si="32"/>
        <v>0</v>
      </c>
      <c r="Y66" s="134">
        <f t="shared" si="32"/>
        <v>0</v>
      </c>
      <c r="Z66" s="134">
        <f t="shared" si="32"/>
        <v>0</v>
      </c>
      <c r="AA66" s="134">
        <f t="shared" si="32"/>
        <v>0</v>
      </c>
      <c r="AB66" s="134">
        <f t="shared" si="32"/>
        <v>0</v>
      </c>
      <c r="AC66" s="134">
        <f t="shared" si="32"/>
        <v>0</v>
      </c>
      <c r="AD66" s="134">
        <f t="shared" si="32"/>
        <v>0</v>
      </c>
      <c r="AE66" s="134">
        <f t="shared" si="32"/>
        <v>0</v>
      </c>
      <c r="AF66" s="134">
        <f t="shared" si="32"/>
        <v>0</v>
      </c>
      <c r="AG66" s="134">
        <f t="shared" si="32"/>
        <v>0</v>
      </c>
      <c r="AH66" s="134">
        <f t="shared" si="32"/>
        <v>0</v>
      </c>
      <c r="AI66" s="134">
        <f t="shared" si="32"/>
        <v>0</v>
      </c>
      <c r="AJ66" s="134">
        <f t="shared" si="32"/>
        <v>0</v>
      </c>
      <c r="AK66" s="134">
        <f t="shared" si="32"/>
        <v>0</v>
      </c>
      <c r="AL66" s="134">
        <f t="shared" si="32"/>
        <v>0</v>
      </c>
      <c r="AM66" s="134">
        <f t="shared" si="32"/>
        <v>0</v>
      </c>
      <c r="AN66" s="134">
        <f t="shared" si="32"/>
        <v>0</v>
      </c>
      <c r="AO66" s="134">
        <f t="shared" si="32"/>
        <v>0</v>
      </c>
      <c r="AP66" s="134">
        <f t="shared" si="32"/>
        <v>0</v>
      </c>
      <c r="AQ66" s="134">
        <f t="shared" si="32"/>
        <v>0</v>
      </c>
      <c r="AR66" s="134">
        <f t="shared" si="32"/>
        <v>0</v>
      </c>
      <c r="AS66" s="134">
        <f t="shared" si="32"/>
        <v>0</v>
      </c>
      <c r="AT66" s="134">
        <f t="shared" si="32"/>
        <v>0</v>
      </c>
      <c r="AU66" s="134">
        <f t="shared" si="32"/>
        <v>0</v>
      </c>
      <c r="AV66" s="134">
        <f t="shared" si="32"/>
        <v>0</v>
      </c>
      <c r="AW66" s="134">
        <f t="shared" si="32"/>
        <v>0</v>
      </c>
      <c r="AX66" s="134">
        <f t="shared" si="32"/>
        <v>0</v>
      </c>
      <c r="AY66" s="134">
        <f t="shared" si="32"/>
        <v>0</v>
      </c>
      <c r="AZ66" s="134">
        <f t="shared" si="32"/>
        <v>0</v>
      </c>
      <c r="BA66" s="134">
        <f t="shared" si="32"/>
        <v>0</v>
      </c>
      <c r="BB66" s="134">
        <f t="shared" si="32"/>
        <v>0</v>
      </c>
      <c r="BC66" s="134">
        <f t="shared" si="32"/>
        <v>0</v>
      </c>
      <c r="BD66" s="134">
        <f t="shared" si="32"/>
        <v>0</v>
      </c>
      <c r="BE66" s="134">
        <f t="shared" si="32"/>
        <v>0</v>
      </c>
      <c r="BF66" s="134">
        <f t="shared" si="32"/>
        <v>0</v>
      </c>
      <c r="BG66" s="134">
        <f t="shared" si="32"/>
        <v>0</v>
      </c>
      <c r="BH66" s="134">
        <f t="shared" si="32"/>
        <v>0</v>
      </c>
      <c r="BI66" s="134">
        <f t="shared" si="32"/>
        <v>0</v>
      </c>
      <c r="BJ66" s="134">
        <f t="shared" si="32"/>
        <v>0</v>
      </c>
      <c r="BK66" s="134">
        <f t="shared" si="32"/>
        <v>0</v>
      </c>
      <c r="BL66" s="134">
        <f t="shared" si="32"/>
        <v>0</v>
      </c>
      <c r="BM66" s="134">
        <f t="shared" si="32"/>
        <v>0</v>
      </c>
      <c r="BN66" s="134">
        <f t="shared" si="32"/>
        <v>0</v>
      </c>
      <c r="BO66" s="134">
        <f t="shared" si="32"/>
        <v>0</v>
      </c>
      <c r="BP66" s="134">
        <f t="shared" si="32"/>
        <v>0</v>
      </c>
      <c r="BQ66" s="134">
        <f t="shared" si="32"/>
        <v>0</v>
      </c>
      <c r="BR66" s="134">
        <f t="shared" si="32"/>
        <v>0</v>
      </c>
      <c r="BS66" s="134">
        <f t="shared" si="32"/>
        <v>0</v>
      </c>
      <c r="BT66" s="134">
        <f t="shared" si="32"/>
        <v>0</v>
      </c>
      <c r="BU66" s="134">
        <f t="shared" si="32"/>
        <v>0</v>
      </c>
      <c r="BV66" s="134">
        <f t="shared" si="32"/>
        <v>0</v>
      </c>
      <c r="BW66" s="134">
        <f t="shared" si="32"/>
        <v>0</v>
      </c>
      <c r="BX66" s="134">
        <f t="shared" si="32"/>
        <v>0</v>
      </c>
      <c r="BY66" s="134">
        <f t="shared" si="32"/>
        <v>0</v>
      </c>
      <c r="BZ66" s="134">
        <f t="shared" si="32"/>
        <v>0</v>
      </c>
      <c r="CA66" s="134">
        <f t="shared" si="32"/>
        <v>0</v>
      </c>
      <c r="CB66" s="134">
        <f t="shared" si="32"/>
        <v>0</v>
      </c>
      <c r="CC66" s="134">
        <f t="shared" ref="CC66:EN66" si="33">SUM(CC62:CC65)</f>
        <v>0</v>
      </c>
      <c r="CD66" s="134">
        <f t="shared" si="33"/>
        <v>0</v>
      </c>
      <c r="CE66" s="134">
        <f t="shared" si="33"/>
        <v>0</v>
      </c>
      <c r="CF66" s="134">
        <f t="shared" si="33"/>
        <v>0</v>
      </c>
      <c r="CG66" s="134">
        <f t="shared" si="33"/>
        <v>0</v>
      </c>
      <c r="CH66" s="134">
        <f t="shared" si="33"/>
        <v>0</v>
      </c>
      <c r="CI66" s="134">
        <f t="shared" si="33"/>
        <v>0</v>
      </c>
      <c r="CJ66" s="134">
        <f t="shared" si="33"/>
        <v>0</v>
      </c>
      <c r="CK66" s="134">
        <f t="shared" si="33"/>
        <v>0</v>
      </c>
      <c r="CL66" s="134">
        <f t="shared" si="33"/>
        <v>0</v>
      </c>
      <c r="CM66" s="134">
        <f t="shared" si="33"/>
        <v>0</v>
      </c>
      <c r="CN66" s="134">
        <f t="shared" si="33"/>
        <v>0</v>
      </c>
      <c r="CO66" s="134">
        <f t="shared" si="33"/>
        <v>0</v>
      </c>
      <c r="CP66" s="134">
        <f t="shared" si="33"/>
        <v>0</v>
      </c>
      <c r="CQ66" s="134">
        <f t="shared" si="33"/>
        <v>0</v>
      </c>
      <c r="CR66" s="134">
        <f t="shared" si="33"/>
        <v>0</v>
      </c>
      <c r="CS66" s="134">
        <f t="shared" si="33"/>
        <v>0</v>
      </c>
      <c r="CT66" s="134">
        <f t="shared" si="33"/>
        <v>0</v>
      </c>
      <c r="CU66" s="134">
        <f t="shared" si="33"/>
        <v>0</v>
      </c>
      <c r="CV66" s="134">
        <f t="shared" si="33"/>
        <v>0</v>
      </c>
      <c r="CW66" s="134">
        <f t="shared" si="33"/>
        <v>0</v>
      </c>
      <c r="CX66" s="134">
        <f t="shared" si="33"/>
        <v>0</v>
      </c>
      <c r="CY66" s="134">
        <f t="shared" si="33"/>
        <v>0</v>
      </c>
      <c r="CZ66" s="134">
        <f t="shared" si="33"/>
        <v>0</v>
      </c>
      <c r="DA66" s="134">
        <f t="shared" si="33"/>
        <v>0</v>
      </c>
      <c r="DB66" s="134">
        <f t="shared" si="33"/>
        <v>0</v>
      </c>
      <c r="DC66" s="134">
        <f t="shared" si="33"/>
        <v>0</v>
      </c>
      <c r="DD66" s="134">
        <f t="shared" si="33"/>
        <v>0</v>
      </c>
      <c r="DE66" s="134">
        <f t="shared" si="33"/>
        <v>0</v>
      </c>
      <c r="DF66" s="134">
        <f t="shared" si="33"/>
        <v>0</v>
      </c>
      <c r="DG66" s="134">
        <f t="shared" si="33"/>
        <v>0</v>
      </c>
      <c r="DH66" s="134">
        <f t="shared" si="33"/>
        <v>0</v>
      </c>
      <c r="DI66" s="134">
        <f t="shared" si="33"/>
        <v>0</v>
      </c>
      <c r="DJ66" s="134">
        <f t="shared" si="33"/>
        <v>0</v>
      </c>
      <c r="DK66" s="134">
        <f t="shared" si="33"/>
        <v>0</v>
      </c>
      <c r="DL66" s="134">
        <f t="shared" si="33"/>
        <v>0</v>
      </c>
      <c r="DM66" s="134">
        <f t="shared" si="33"/>
        <v>0</v>
      </c>
      <c r="DN66" s="134">
        <f t="shared" si="33"/>
        <v>0</v>
      </c>
      <c r="DO66" s="134">
        <f t="shared" si="33"/>
        <v>0</v>
      </c>
      <c r="DP66" s="134">
        <f t="shared" si="33"/>
        <v>0</v>
      </c>
      <c r="DQ66" s="134">
        <f t="shared" si="33"/>
        <v>0</v>
      </c>
      <c r="DR66" s="134">
        <f t="shared" si="33"/>
        <v>0</v>
      </c>
      <c r="DS66" s="134">
        <f t="shared" si="33"/>
        <v>0</v>
      </c>
      <c r="DT66" s="134">
        <f t="shared" si="33"/>
        <v>0</v>
      </c>
      <c r="DU66" s="134">
        <f t="shared" si="33"/>
        <v>0</v>
      </c>
      <c r="DV66" s="134">
        <f t="shared" si="33"/>
        <v>0</v>
      </c>
      <c r="DW66" s="134">
        <f t="shared" si="33"/>
        <v>0</v>
      </c>
      <c r="DX66" s="134">
        <f t="shared" si="33"/>
        <v>0</v>
      </c>
      <c r="DY66" s="134">
        <f t="shared" si="33"/>
        <v>0</v>
      </c>
      <c r="DZ66" s="134">
        <f t="shared" si="33"/>
        <v>0</v>
      </c>
      <c r="EA66" s="134">
        <f t="shared" si="33"/>
        <v>0</v>
      </c>
      <c r="EB66" s="134">
        <f t="shared" si="33"/>
        <v>0</v>
      </c>
      <c r="EC66" s="134">
        <f t="shared" si="33"/>
        <v>0</v>
      </c>
      <c r="ED66" s="134">
        <f t="shared" si="33"/>
        <v>0</v>
      </c>
      <c r="EE66" s="134">
        <f t="shared" si="33"/>
        <v>0</v>
      </c>
      <c r="EF66" s="134">
        <f t="shared" si="33"/>
        <v>0</v>
      </c>
      <c r="EG66" s="134">
        <f t="shared" si="33"/>
        <v>0</v>
      </c>
      <c r="EH66" s="134">
        <f t="shared" si="33"/>
        <v>0</v>
      </c>
      <c r="EI66" s="134">
        <f t="shared" si="33"/>
        <v>0</v>
      </c>
      <c r="EJ66" s="134">
        <f t="shared" si="33"/>
        <v>0</v>
      </c>
      <c r="EK66" s="134">
        <f t="shared" si="33"/>
        <v>0</v>
      </c>
      <c r="EL66" s="134">
        <f t="shared" ref="EL66" si="34">SUM(EL62:EL65)</f>
        <v>0</v>
      </c>
      <c r="EM66" s="134">
        <f t="shared" si="33"/>
        <v>0</v>
      </c>
      <c r="EN66" s="134">
        <f t="shared" si="33"/>
        <v>0</v>
      </c>
      <c r="EO66" s="134">
        <f t="shared" ref="EO66:GZ66" si="35">SUM(EO62:EO65)</f>
        <v>0</v>
      </c>
      <c r="EP66" s="134">
        <f t="shared" si="35"/>
        <v>0</v>
      </c>
      <c r="EQ66" s="134">
        <f t="shared" si="35"/>
        <v>0</v>
      </c>
      <c r="ER66" s="134">
        <f t="shared" si="35"/>
        <v>0</v>
      </c>
      <c r="ES66" s="134">
        <f t="shared" si="35"/>
        <v>0</v>
      </c>
      <c r="ET66" s="134">
        <f t="shared" si="35"/>
        <v>0</v>
      </c>
      <c r="EU66" s="134">
        <f t="shared" si="35"/>
        <v>0</v>
      </c>
      <c r="EV66" s="134">
        <f t="shared" si="35"/>
        <v>0</v>
      </c>
      <c r="EW66" s="134">
        <f t="shared" si="35"/>
        <v>0</v>
      </c>
      <c r="EX66" s="134">
        <f t="shared" si="35"/>
        <v>0</v>
      </c>
      <c r="EY66" s="134">
        <f t="shared" si="35"/>
        <v>0</v>
      </c>
      <c r="EZ66" s="134">
        <f t="shared" si="35"/>
        <v>0</v>
      </c>
      <c r="FA66" s="134">
        <f t="shared" si="35"/>
        <v>0</v>
      </c>
      <c r="FB66" s="134">
        <f t="shared" si="35"/>
        <v>0</v>
      </c>
      <c r="FC66" s="134">
        <f t="shared" si="35"/>
        <v>0</v>
      </c>
      <c r="FD66" s="134">
        <f t="shared" si="35"/>
        <v>0</v>
      </c>
      <c r="FE66" s="134">
        <f t="shared" si="35"/>
        <v>0</v>
      </c>
      <c r="FF66" s="134">
        <f t="shared" si="35"/>
        <v>0</v>
      </c>
      <c r="FG66" s="134">
        <f t="shared" si="35"/>
        <v>0</v>
      </c>
      <c r="FH66" s="134">
        <f t="shared" si="35"/>
        <v>0</v>
      </c>
      <c r="FI66" s="134">
        <f t="shared" si="35"/>
        <v>0</v>
      </c>
      <c r="FJ66" s="134">
        <f t="shared" si="35"/>
        <v>0</v>
      </c>
      <c r="FK66" s="134">
        <f t="shared" si="35"/>
        <v>0</v>
      </c>
      <c r="FL66" s="134">
        <f t="shared" si="35"/>
        <v>0</v>
      </c>
      <c r="FM66" s="134">
        <f t="shared" si="35"/>
        <v>0</v>
      </c>
      <c r="FN66" s="134">
        <f t="shared" si="35"/>
        <v>0</v>
      </c>
      <c r="FO66" s="134">
        <f t="shared" si="35"/>
        <v>0</v>
      </c>
      <c r="FP66" s="134">
        <f t="shared" si="35"/>
        <v>0</v>
      </c>
      <c r="FQ66" s="134">
        <f t="shared" si="35"/>
        <v>0</v>
      </c>
      <c r="FR66" s="134">
        <f t="shared" si="35"/>
        <v>0</v>
      </c>
      <c r="FS66" s="134">
        <f t="shared" si="35"/>
        <v>0</v>
      </c>
      <c r="FT66" s="134">
        <f t="shared" si="35"/>
        <v>0</v>
      </c>
      <c r="FU66" s="134">
        <f t="shared" si="35"/>
        <v>0</v>
      </c>
      <c r="FV66" s="134">
        <f t="shared" si="35"/>
        <v>0</v>
      </c>
      <c r="FW66" s="134">
        <f t="shared" si="35"/>
        <v>0</v>
      </c>
      <c r="FX66" s="134">
        <f t="shared" si="35"/>
        <v>0</v>
      </c>
      <c r="FY66" s="134">
        <f t="shared" si="35"/>
        <v>0</v>
      </c>
      <c r="FZ66" s="134">
        <f t="shared" si="35"/>
        <v>0</v>
      </c>
      <c r="GA66" s="134">
        <f t="shared" si="35"/>
        <v>0</v>
      </c>
      <c r="GB66" s="134">
        <f t="shared" si="35"/>
        <v>0</v>
      </c>
      <c r="GC66" s="134">
        <f t="shared" si="35"/>
        <v>0</v>
      </c>
      <c r="GD66" s="134">
        <f t="shared" si="35"/>
        <v>0</v>
      </c>
      <c r="GE66" s="134">
        <f t="shared" si="35"/>
        <v>0</v>
      </c>
      <c r="GF66" s="134">
        <f t="shared" si="35"/>
        <v>0</v>
      </c>
      <c r="GG66" s="134">
        <f t="shared" si="35"/>
        <v>0</v>
      </c>
      <c r="GH66" s="134">
        <f t="shared" si="35"/>
        <v>0</v>
      </c>
      <c r="GI66" s="134">
        <f t="shared" si="35"/>
        <v>0</v>
      </c>
      <c r="GJ66" s="134">
        <f t="shared" si="35"/>
        <v>0</v>
      </c>
      <c r="GK66" s="134">
        <f t="shared" si="35"/>
        <v>0</v>
      </c>
      <c r="GL66" s="134">
        <f t="shared" si="35"/>
        <v>0</v>
      </c>
      <c r="GM66" s="134">
        <f t="shared" si="35"/>
        <v>0</v>
      </c>
      <c r="GN66" s="134">
        <f t="shared" si="35"/>
        <v>0</v>
      </c>
      <c r="GO66" s="134">
        <f t="shared" si="35"/>
        <v>0</v>
      </c>
      <c r="GP66" s="134">
        <f t="shared" si="35"/>
        <v>0</v>
      </c>
      <c r="GQ66" s="134">
        <f t="shared" si="35"/>
        <v>0</v>
      </c>
      <c r="GR66" s="134">
        <f t="shared" si="35"/>
        <v>0</v>
      </c>
      <c r="GS66" s="134">
        <f t="shared" si="35"/>
        <v>0</v>
      </c>
      <c r="GT66" s="134">
        <f t="shared" si="35"/>
        <v>0</v>
      </c>
      <c r="GU66" s="134">
        <f t="shared" si="35"/>
        <v>0</v>
      </c>
      <c r="GV66" s="134">
        <f t="shared" si="35"/>
        <v>0</v>
      </c>
      <c r="GW66" s="134">
        <f t="shared" si="35"/>
        <v>0</v>
      </c>
      <c r="GX66" s="134">
        <f t="shared" si="35"/>
        <v>0</v>
      </c>
      <c r="GY66" s="134">
        <f t="shared" si="35"/>
        <v>0</v>
      </c>
      <c r="GZ66" s="134">
        <f t="shared" si="35"/>
        <v>0</v>
      </c>
      <c r="HA66" s="134">
        <f t="shared" ref="HA66:JL66" si="36">SUM(HA62:HA65)</f>
        <v>0</v>
      </c>
      <c r="HB66" s="134">
        <f t="shared" si="36"/>
        <v>0</v>
      </c>
      <c r="HC66" s="134">
        <f t="shared" si="36"/>
        <v>0</v>
      </c>
      <c r="HD66" s="134">
        <f t="shared" si="36"/>
        <v>0</v>
      </c>
      <c r="HE66" s="134">
        <f t="shared" si="36"/>
        <v>0</v>
      </c>
      <c r="HF66" s="134">
        <f t="shared" si="36"/>
        <v>0</v>
      </c>
      <c r="HG66" s="134">
        <f t="shared" si="36"/>
        <v>0</v>
      </c>
      <c r="HH66" s="134">
        <f t="shared" si="36"/>
        <v>0</v>
      </c>
      <c r="HI66" s="134">
        <f t="shared" si="36"/>
        <v>0</v>
      </c>
      <c r="HJ66" s="134">
        <f t="shared" si="36"/>
        <v>0</v>
      </c>
      <c r="HK66" s="134">
        <f t="shared" si="36"/>
        <v>0</v>
      </c>
      <c r="HL66" s="134">
        <f t="shared" si="36"/>
        <v>0</v>
      </c>
      <c r="HM66" s="134">
        <f t="shared" si="36"/>
        <v>0</v>
      </c>
      <c r="HN66" s="134">
        <f t="shared" si="36"/>
        <v>0</v>
      </c>
      <c r="HO66" s="134">
        <f t="shared" si="36"/>
        <v>0</v>
      </c>
      <c r="HP66" s="134">
        <f t="shared" si="36"/>
        <v>0</v>
      </c>
      <c r="HQ66" s="134">
        <f t="shared" si="36"/>
        <v>0</v>
      </c>
      <c r="HR66" s="134">
        <f t="shared" si="36"/>
        <v>0</v>
      </c>
      <c r="HS66" s="134">
        <f t="shared" si="36"/>
        <v>0</v>
      </c>
      <c r="HT66" s="134">
        <f t="shared" si="36"/>
        <v>0</v>
      </c>
      <c r="HU66" s="134">
        <f t="shared" si="36"/>
        <v>0</v>
      </c>
      <c r="HV66" s="134">
        <f t="shared" si="36"/>
        <v>0</v>
      </c>
      <c r="HW66" s="134">
        <f t="shared" si="36"/>
        <v>0</v>
      </c>
      <c r="HX66" s="134">
        <f t="shared" si="36"/>
        <v>0</v>
      </c>
      <c r="HY66" s="134">
        <f t="shared" si="36"/>
        <v>0</v>
      </c>
      <c r="HZ66" s="134">
        <f t="shared" si="36"/>
        <v>0</v>
      </c>
      <c r="IA66" s="134">
        <f t="shared" si="36"/>
        <v>0</v>
      </c>
      <c r="IB66" s="134">
        <f t="shared" si="36"/>
        <v>0</v>
      </c>
      <c r="IC66" s="134">
        <f t="shared" si="36"/>
        <v>0</v>
      </c>
      <c r="ID66" s="134">
        <f t="shared" si="36"/>
        <v>0</v>
      </c>
      <c r="IE66" s="134">
        <f t="shared" si="36"/>
        <v>0</v>
      </c>
      <c r="IF66" s="134">
        <f t="shared" si="36"/>
        <v>0</v>
      </c>
      <c r="IG66" s="134">
        <f t="shared" si="36"/>
        <v>0</v>
      </c>
      <c r="IH66" s="134">
        <f t="shared" si="36"/>
        <v>0</v>
      </c>
      <c r="II66" s="134">
        <f t="shared" si="36"/>
        <v>0</v>
      </c>
      <c r="IJ66" s="134">
        <f t="shared" si="36"/>
        <v>0</v>
      </c>
      <c r="IK66" s="134">
        <f t="shared" si="36"/>
        <v>0</v>
      </c>
      <c r="IL66" s="134">
        <f t="shared" si="36"/>
        <v>0</v>
      </c>
      <c r="IM66" s="134">
        <f t="shared" si="36"/>
        <v>0</v>
      </c>
      <c r="IN66" s="134">
        <f t="shared" si="36"/>
        <v>0</v>
      </c>
      <c r="IO66" s="134">
        <f t="shared" si="36"/>
        <v>0</v>
      </c>
      <c r="IP66" s="134">
        <f t="shared" si="36"/>
        <v>0</v>
      </c>
      <c r="IQ66" s="134">
        <f t="shared" si="36"/>
        <v>0</v>
      </c>
      <c r="IR66" s="134">
        <f t="shared" si="36"/>
        <v>0</v>
      </c>
      <c r="IS66" s="134">
        <f t="shared" si="36"/>
        <v>0</v>
      </c>
      <c r="IT66" s="134">
        <f t="shared" si="36"/>
        <v>0</v>
      </c>
      <c r="IU66" s="134">
        <f t="shared" si="36"/>
        <v>0</v>
      </c>
      <c r="IV66" s="134">
        <f t="shared" si="36"/>
        <v>0</v>
      </c>
      <c r="IW66" s="134">
        <f t="shared" si="36"/>
        <v>0</v>
      </c>
      <c r="IX66" s="134">
        <f t="shared" si="36"/>
        <v>0</v>
      </c>
      <c r="IY66" s="134">
        <f t="shared" si="36"/>
        <v>0</v>
      </c>
      <c r="IZ66" s="134">
        <f t="shared" si="36"/>
        <v>0</v>
      </c>
      <c r="JA66" s="134">
        <f t="shared" si="36"/>
        <v>0</v>
      </c>
      <c r="JB66" s="134">
        <f t="shared" si="36"/>
        <v>0</v>
      </c>
      <c r="JC66" s="134">
        <f t="shared" si="36"/>
        <v>0</v>
      </c>
      <c r="JD66" s="134">
        <f t="shared" si="36"/>
        <v>0</v>
      </c>
      <c r="JE66" s="134">
        <f t="shared" si="36"/>
        <v>0</v>
      </c>
      <c r="JF66" s="134">
        <f t="shared" si="36"/>
        <v>0</v>
      </c>
      <c r="JG66" s="134">
        <f t="shared" si="36"/>
        <v>0</v>
      </c>
      <c r="JH66" s="134">
        <f t="shared" si="36"/>
        <v>0</v>
      </c>
      <c r="JI66" s="134">
        <f t="shared" si="36"/>
        <v>0</v>
      </c>
      <c r="JJ66" s="134">
        <f t="shared" si="36"/>
        <v>0</v>
      </c>
      <c r="JK66" s="134">
        <f t="shared" si="36"/>
        <v>0</v>
      </c>
      <c r="JL66" s="134">
        <f t="shared" si="36"/>
        <v>0</v>
      </c>
      <c r="JM66" s="134">
        <f t="shared" ref="JM66:LX66" si="37">SUM(JM62:JM65)</f>
        <v>0</v>
      </c>
      <c r="JN66" s="134">
        <f t="shared" si="37"/>
        <v>0</v>
      </c>
      <c r="JO66" s="134">
        <f t="shared" si="37"/>
        <v>0</v>
      </c>
      <c r="JP66" s="134">
        <f t="shared" si="37"/>
        <v>0</v>
      </c>
      <c r="JQ66" s="134">
        <f t="shared" si="37"/>
        <v>0</v>
      </c>
      <c r="JR66" s="134">
        <f t="shared" si="37"/>
        <v>0</v>
      </c>
      <c r="JS66" s="134">
        <f t="shared" si="37"/>
        <v>0</v>
      </c>
      <c r="JT66" s="134">
        <f t="shared" si="37"/>
        <v>0</v>
      </c>
      <c r="JU66" s="134">
        <f t="shared" si="37"/>
        <v>0</v>
      </c>
      <c r="JV66" s="134">
        <f t="shared" si="37"/>
        <v>0</v>
      </c>
      <c r="JW66" s="134">
        <f t="shared" si="37"/>
        <v>0</v>
      </c>
      <c r="JX66" s="134">
        <f t="shared" si="37"/>
        <v>0</v>
      </c>
      <c r="JY66" s="134">
        <f t="shared" si="37"/>
        <v>0</v>
      </c>
      <c r="JZ66" s="134">
        <f t="shared" si="37"/>
        <v>0</v>
      </c>
      <c r="KA66" s="134">
        <f t="shared" si="37"/>
        <v>0</v>
      </c>
      <c r="KB66" s="134">
        <f t="shared" si="37"/>
        <v>0</v>
      </c>
      <c r="KC66" s="134">
        <f t="shared" si="37"/>
        <v>0</v>
      </c>
      <c r="KD66" s="134">
        <f t="shared" si="37"/>
        <v>0</v>
      </c>
      <c r="KE66" s="134">
        <f t="shared" si="37"/>
        <v>0</v>
      </c>
      <c r="KF66" s="134">
        <f t="shared" si="37"/>
        <v>0</v>
      </c>
      <c r="KG66" s="134">
        <f t="shared" si="37"/>
        <v>0</v>
      </c>
      <c r="KH66" s="134">
        <f t="shared" si="37"/>
        <v>0</v>
      </c>
      <c r="KI66" s="134">
        <f t="shared" si="37"/>
        <v>0</v>
      </c>
      <c r="KJ66" s="134">
        <f t="shared" si="37"/>
        <v>0</v>
      </c>
      <c r="KK66" s="134">
        <f t="shared" si="37"/>
        <v>0</v>
      </c>
      <c r="KL66" s="134">
        <f t="shared" si="37"/>
        <v>0</v>
      </c>
      <c r="KM66" s="134">
        <f t="shared" si="37"/>
        <v>0</v>
      </c>
      <c r="KN66" s="134">
        <f t="shared" si="37"/>
        <v>0</v>
      </c>
      <c r="KO66" s="134">
        <f t="shared" si="37"/>
        <v>0</v>
      </c>
      <c r="KP66" s="134">
        <f t="shared" si="37"/>
        <v>0</v>
      </c>
      <c r="KQ66" s="134">
        <f t="shared" si="37"/>
        <v>0</v>
      </c>
      <c r="KR66" s="134">
        <f t="shared" si="37"/>
        <v>0</v>
      </c>
      <c r="KS66" s="134">
        <f t="shared" si="37"/>
        <v>0</v>
      </c>
      <c r="KT66" s="134">
        <f t="shared" si="37"/>
        <v>0</v>
      </c>
      <c r="KU66" s="134">
        <f t="shared" si="37"/>
        <v>0</v>
      </c>
      <c r="KV66" s="134">
        <f t="shared" si="37"/>
        <v>0</v>
      </c>
      <c r="KW66" s="134">
        <f t="shared" si="37"/>
        <v>0</v>
      </c>
      <c r="KX66" s="134">
        <f t="shared" si="37"/>
        <v>0</v>
      </c>
      <c r="KY66" s="134">
        <f t="shared" si="37"/>
        <v>0</v>
      </c>
      <c r="KZ66" s="134">
        <f t="shared" si="37"/>
        <v>0</v>
      </c>
      <c r="LA66" s="134">
        <f t="shared" si="37"/>
        <v>0</v>
      </c>
      <c r="LB66" s="134">
        <f t="shared" si="37"/>
        <v>0</v>
      </c>
      <c r="LC66" s="134">
        <f t="shared" si="37"/>
        <v>0</v>
      </c>
      <c r="LD66" s="134">
        <f t="shared" si="37"/>
        <v>0</v>
      </c>
      <c r="LE66" s="134">
        <f t="shared" si="37"/>
        <v>0</v>
      </c>
      <c r="LF66" s="134">
        <f t="shared" si="37"/>
        <v>0</v>
      </c>
      <c r="LG66" s="134">
        <f t="shared" si="37"/>
        <v>0</v>
      </c>
      <c r="LH66" s="134">
        <f t="shared" si="37"/>
        <v>0</v>
      </c>
      <c r="LI66" s="134">
        <f t="shared" si="37"/>
        <v>0</v>
      </c>
      <c r="LJ66" s="134">
        <f t="shared" si="37"/>
        <v>0</v>
      </c>
      <c r="LK66" s="134">
        <f t="shared" si="37"/>
        <v>0</v>
      </c>
      <c r="LL66" s="134">
        <f t="shared" si="37"/>
        <v>0</v>
      </c>
      <c r="LM66" s="134">
        <f t="shared" si="37"/>
        <v>0</v>
      </c>
      <c r="LN66" s="134">
        <f t="shared" si="37"/>
        <v>0</v>
      </c>
      <c r="LO66" s="134">
        <f t="shared" si="37"/>
        <v>0</v>
      </c>
      <c r="LP66" s="134">
        <f t="shared" si="37"/>
        <v>0</v>
      </c>
      <c r="LQ66" s="134">
        <f t="shared" si="37"/>
        <v>0</v>
      </c>
      <c r="LR66" s="134">
        <f t="shared" si="37"/>
        <v>0</v>
      </c>
      <c r="LS66" s="134">
        <f t="shared" si="37"/>
        <v>0</v>
      </c>
      <c r="LT66" s="134">
        <f t="shared" si="37"/>
        <v>0</v>
      </c>
      <c r="LU66" s="134">
        <f t="shared" si="37"/>
        <v>0</v>
      </c>
      <c r="LV66" s="134">
        <f t="shared" si="37"/>
        <v>0</v>
      </c>
      <c r="LW66" s="134">
        <f t="shared" si="37"/>
        <v>0</v>
      </c>
      <c r="LX66" s="134">
        <f t="shared" si="37"/>
        <v>0</v>
      </c>
      <c r="LY66" s="134">
        <f t="shared" ref="LY66:LZ66" si="38">SUM(LY62:LY65)</f>
        <v>0</v>
      </c>
      <c r="LZ66" s="134">
        <f t="shared" si="38"/>
        <v>0</v>
      </c>
      <c r="MA66" s="134">
        <f t="shared" ref="MA66" si="39">SUM(MA62:MA65)</f>
        <v>0</v>
      </c>
      <c r="MB66" s="134">
        <f t="shared" ref="MB66:OH66" si="40">SUM(MB62:MB65)</f>
        <v>0</v>
      </c>
      <c r="MC66" s="134">
        <f t="shared" si="40"/>
        <v>0</v>
      </c>
      <c r="MD66" s="134">
        <f t="shared" si="40"/>
        <v>0</v>
      </c>
      <c r="ME66" s="134">
        <f t="shared" si="40"/>
        <v>0</v>
      </c>
      <c r="MF66" s="134">
        <f t="shared" si="40"/>
        <v>0</v>
      </c>
      <c r="MG66" s="134">
        <f t="shared" si="40"/>
        <v>0</v>
      </c>
      <c r="MH66" s="134">
        <f t="shared" si="40"/>
        <v>0</v>
      </c>
      <c r="MI66" s="134">
        <f t="shared" si="40"/>
        <v>0</v>
      </c>
      <c r="MJ66" s="134">
        <f t="shared" si="40"/>
        <v>0</v>
      </c>
      <c r="MK66" s="134">
        <f t="shared" si="40"/>
        <v>0</v>
      </c>
      <c r="ML66" s="134">
        <f t="shared" si="40"/>
        <v>0</v>
      </c>
      <c r="MM66" s="134">
        <f t="shared" si="40"/>
        <v>0</v>
      </c>
      <c r="MN66" s="134">
        <f t="shared" si="40"/>
        <v>0</v>
      </c>
      <c r="MO66" s="134">
        <f t="shared" si="40"/>
        <v>0</v>
      </c>
      <c r="MP66" s="134">
        <f t="shared" si="40"/>
        <v>0</v>
      </c>
      <c r="MQ66" s="134">
        <f t="shared" si="40"/>
        <v>0</v>
      </c>
      <c r="MR66" s="134">
        <f t="shared" si="40"/>
        <v>0</v>
      </c>
      <c r="MS66" s="134">
        <f t="shared" si="40"/>
        <v>0</v>
      </c>
      <c r="MT66" s="134">
        <f t="shared" si="40"/>
        <v>0</v>
      </c>
      <c r="MU66" s="134">
        <f t="shared" si="40"/>
        <v>0</v>
      </c>
      <c r="MV66" s="134">
        <f t="shared" si="40"/>
        <v>0</v>
      </c>
      <c r="MW66" s="134">
        <f t="shared" si="40"/>
        <v>0</v>
      </c>
      <c r="MX66" s="134">
        <f t="shared" si="40"/>
        <v>0</v>
      </c>
      <c r="MY66" s="134">
        <f t="shared" si="40"/>
        <v>0</v>
      </c>
      <c r="MZ66" s="134">
        <f t="shared" si="40"/>
        <v>0</v>
      </c>
      <c r="NA66" s="134">
        <f t="shared" si="40"/>
        <v>0</v>
      </c>
      <c r="NB66" s="134">
        <f t="shared" si="40"/>
        <v>0</v>
      </c>
      <c r="NC66" s="134">
        <f t="shared" si="40"/>
        <v>0</v>
      </c>
      <c r="ND66" s="134">
        <f t="shared" si="40"/>
        <v>0</v>
      </c>
      <c r="NE66" s="134">
        <f t="shared" si="40"/>
        <v>0</v>
      </c>
      <c r="NF66" s="134">
        <f t="shared" ref="NF66" si="41">SUM(NF62:NF65)</f>
        <v>0</v>
      </c>
      <c r="NG66" s="134">
        <f t="shared" si="40"/>
        <v>0</v>
      </c>
      <c r="NH66" s="134">
        <f t="shared" si="40"/>
        <v>0</v>
      </c>
      <c r="NI66" s="134">
        <f t="shared" si="40"/>
        <v>0</v>
      </c>
      <c r="NJ66" s="134">
        <f t="shared" si="40"/>
        <v>0</v>
      </c>
      <c r="NK66" s="134">
        <f t="shared" si="40"/>
        <v>0</v>
      </c>
      <c r="NL66" s="134">
        <f t="shared" si="40"/>
        <v>0</v>
      </c>
      <c r="NM66" s="134">
        <f t="shared" si="40"/>
        <v>0</v>
      </c>
      <c r="NN66" s="134">
        <f t="shared" si="40"/>
        <v>0</v>
      </c>
      <c r="NO66" s="134">
        <f t="shared" si="40"/>
        <v>0</v>
      </c>
      <c r="NP66" s="134">
        <f t="shared" si="40"/>
        <v>0</v>
      </c>
      <c r="NQ66" s="134">
        <f t="shared" si="40"/>
        <v>0</v>
      </c>
      <c r="NR66" s="134">
        <f t="shared" si="40"/>
        <v>0</v>
      </c>
      <c r="NS66" s="134">
        <f t="shared" si="40"/>
        <v>0</v>
      </c>
      <c r="NT66" s="134">
        <f t="shared" si="40"/>
        <v>0</v>
      </c>
      <c r="NU66" s="134">
        <f t="shared" si="40"/>
        <v>0</v>
      </c>
      <c r="NV66" s="134">
        <f t="shared" si="40"/>
        <v>0</v>
      </c>
      <c r="NW66" s="134">
        <f t="shared" si="40"/>
        <v>0</v>
      </c>
      <c r="NX66" s="134">
        <f t="shared" si="40"/>
        <v>0</v>
      </c>
      <c r="NY66" s="134">
        <f t="shared" si="40"/>
        <v>0</v>
      </c>
      <c r="NZ66" s="134">
        <f t="shared" si="40"/>
        <v>0</v>
      </c>
      <c r="OA66" s="134">
        <f t="shared" si="40"/>
        <v>0</v>
      </c>
      <c r="OB66" s="134">
        <f t="shared" si="40"/>
        <v>0</v>
      </c>
      <c r="OC66" s="134">
        <f t="shared" si="40"/>
        <v>0</v>
      </c>
      <c r="OD66" s="134">
        <f t="shared" si="40"/>
        <v>0</v>
      </c>
      <c r="OE66" s="134">
        <f t="shared" si="40"/>
        <v>0</v>
      </c>
      <c r="OF66" s="134">
        <f t="shared" si="40"/>
        <v>0</v>
      </c>
      <c r="OG66" s="134">
        <f t="shared" si="40"/>
        <v>0</v>
      </c>
      <c r="OH66" s="135">
        <f t="shared" si="40"/>
        <v>0</v>
      </c>
    </row>
    <row r="67" spans="1:398" x14ac:dyDescent="0.35">
      <c r="A67" s="102"/>
      <c r="B67" s="168">
        <f t="shared" si="8"/>
        <v>39</v>
      </c>
      <c r="C67" s="171" t="s">
        <v>903</v>
      </c>
      <c r="D67" s="124" t="s">
        <v>904</v>
      </c>
      <c r="E67" s="124" t="s">
        <v>750</v>
      </c>
      <c r="F67" s="125" t="s">
        <v>914</v>
      </c>
      <c r="G67" s="125" t="s">
        <v>741</v>
      </c>
      <c r="H67" s="125"/>
      <c r="I67" s="95">
        <v>0</v>
      </c>
      <c r="J67" s="95">
        <v>0</v>
      </c>
      <c r="K67" s="95">
        <v>0</v>
      </c>
      <c r="L67" s="95">
        <v>0</v>
      </c>
      <c r="M67" s="95">
        <v>0</v>
      </c>
      <c r="N67" s="95">
        <v>0</v>
      </c>
      <c r="O67" s="126">
        <f>SUM(P67,R67)</f>
        <v>0</v>
      </c>
      <c r="P67" s="95">
        <v>0</v>
      </c>
      <c r="Q67" s="95">
        <v>0</v>
      </c>
      <c r="R67" s="95">
        <v>0</v>
      </c>
      <c r="S67" s="95">
        <v>0</v>
      </c>
      <c r="T67" s="127"/>
      <c r="U67" s="127"/>
      <c r="V67" s="127"/>
      <c r="W67" s="127"/>
      <c r="X67" s="127"/>
      <c r="Y67" s="127"/>
      <c r="Z67" s="127"/>
      <c r="AA67" s="127"/>
      <c r="AB67" s="127"/>
      <c r="AC67" s="127"/>
      <c r="AD67" s="127"/>
      <c r="AE67" s="127"/>
      <c r="AF67" s="127"/>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7"/>
      <c r="BZ67" s="127"/>
      <c r="CA67" s="127"/>
      <c r="CB67" s="127"/>
      <c r="CC67" s="127"/>
      <c r="CD67" s="127"/>
      <c r="CE67" s="127"/>
      <c r="CF67" s="127"/>
      <c r="CG67" s="127"/>
      <c r="CH67" s="127"/>
      <c r="CI67" s="127"/>
      <c r="CJ67" s="127"/>
      <c r="CK67" s="127"/>
      <c r="CL67" s="127"/>
      <c r="CM67" s="127"/>
      <c r="CN67" s="127"/>
      <c r="CO67" s="127"/>
      <c r="CP67" s="127"/>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7"/>
      <c r="DV67" s="127"/>
      <c r="DW67" s="127"/>
      <c r="DX67" s="127"/>
      <c r="DY67" s="127"/>
      <c r="DZ67" s="127"/>
      <c r="EA67" s="127"/>
      <c r="EB67" s="127"/>
      <c r="EC67" s="127"/>
      <c r="ED67" s="127"/>
      <c r="EE67" s="127"/>
      <c r="EF67" s="127"/>
      <c r="EG67" s="127"/>
      <c r="EH67" s="127"/>
      <c r="EI67" s="127"/>
      <c r="EJ67" s="127"/>
      <c r="EK67" s="127"/>
      <c r="EL67" s="127"/>
      <c r="EM67" s="127"/>
      <c r="EN67" s="127"/>
      <c r="EO67" s="127"/>
      <c r="EP67" s="127"/>
      <c r="EQ67" s="127"/>
      <c r="ER67" s="127"/>
      <c r="ES67" s="127"/>
      <c r="ET67" s="127"/>
      <c r="EU67" s="127"/>
      <c r="EV67" s="127"/>
      <c r="EW67" s="127"/>
      <c r="EX67" s="127"/>
      <c r="EY67" s="127"/>
      <c r="EZ67" s="127"/>
      <c r="FA67" s="127"/>
      <c r="FB67" s="127"/>
      <c r="FC67" s="127"/>
      <c r="FD67" s="127"/>
      <c r="FE67" s="127"/>
      <c r="FF67" s="127"/>
      <c r="FG67" s="127"/>
      <c r="FH67" s="127"/>
      <c r="FI67" s="127"/>
      <c r="FJ67" s="127"/>
      <c r="FK67" s="127"/>
      <c r="FL67" s="127"/>
      <c r="FM67" s="127"/>
      <c r="FN67" s="127"/>
      <c r="FO67" s="127"/>
      <c r="FP67" s="127"/>
      <c r="FQ67" s="127"/>
      <c r="FR67" s="127"/>
      <c r="FS67" s="127"/>
      <c r="FT67" s="127"/>
      <c r="FU67" s="127"/>
      <c r="FV67" s="127"/>
      <c r="FW67" s="127"/>
      <c r="FX67" s="127"/>
      <c r="FY67" s="127"/>
      <c r="FZ67" s="127"/>
      <c r="GA67" s="127"/>
      <c r="GB67" s="127"/>
      <c r="GC67" s="127"/>
      <c r="GD67" s="127"/>
      <c r="GE67" s="127"/>
      <c r="GF67" s="127"/>
      <c r="GG67" s="127"/>
      <c r="GH67" s="127"/>
      <c r="GI67" s="127"/>
      <c r="GJ67" s="127"/>
      <c r="GK67" s="127"/>
      <c r="GL67" s="127"/>
      <c r="GM67" s="127"/>
      <c r="GN67" s="127"/>
      <c r="GO67" s="127"/>
      <c r="GP67" s="127"/>
      <c r="GQ67" s="127"/>
      <c r="GR67" s="127"/>
      <c r="GS67" s="127"/>
      <c r="GT67" s="127"/>
      <c r="GU67" s="127"/>
      <c r="GV67" s="127"/>
      <c r="GW67" s="127"/>
      <c r="GX67" s="127"/>
      <c r="GY67" s="127"/>
      <c r="GZ67" s="127"/>
      <c r="HA67" s="127"/>
      <c r="HB67" s="127"/>
      <c r="HC67" s="127"/>
      <c r="HD67" s="127"/>
      <c r="HE67" s="127"/>
      <c r="HF67" s="127"/>
      <c r="HG67" s="127"/>
      <c r="HH67" s="127"/>
      <c r="HI67" s="127"/>
      <c r="HJ67" s="127"/>
      <c r="HK67" s="127"/>
      <c r="HL67" s="127"/>
      <c r="HM67" s="127"/>
      <c r="HN67" s="127"/>
      <c r="HO67" s="127"/>
      <c r="HP67" s="127"/>
      <c r="HQ67" s="127"/>
      <c r="HR67" s="127"/>
      <c r="HS67" s="127"/>
      <c r="HT67" s="127"/>
      <c r="HU67" s="127"/>
      <c r="HV67" s="127"/>
      <c r="HW67" s="127"/>
      <c r="HX67" s="127"/>
      <c r="HY67" s="127"/>
      <c r="HZ67" s="127"/>
      <c r="IA67" s="127"/>
      <c r="IB67" s="127"/>
      <c r="IC67" s="127"/>
      <c r="ID67" s="127"/>
      <c r="IE67" s="127"/>
      <c r="IF67" s="127"/>
      <c r="IG67" s="127"/>
      <c r="IH67" s="127"/>
      <c r="II67" s="127"/>
      <c r="IJ67" s="127"/>
      <c r="IK67" s="127"/>
      <c r="IL67" s="127"/>
      <c r="IM67" s="127"/>
      <c r="IN67" s="127"/>
      <c r="IO67" s="127"/>
      <c r="IP67" s="127"/>
      <c r="IQ67" s="127"/>
      <c r="IR67" s="127"/>
      <c r="IS67" s="127"/>
      <c r="IT67" s="127"/>
      <c r="IU67" s="127"/>
      <c r="IV67" s="127"/>
      <c r="IW67" s="127"/>
      <c r="IX67" s="127"/>
      <c r="IY67" s="127"/>
      <c r="IZ67" s="127"/>
      <c r="JA67" s="127"/>
      <c r="JB67" s="127"/>
      <c r="JC67" s="127"/>
      <c r="JD67" s="127"/>
      <c r="JE67" s="127"/>
      <c r="JF67" s="127"/>
      <c r="JG67" s="127"/>
      <c r="JH67" s="127"/>
      <c r="JI67" s="127"/>
      <c r="JJ67" s="127"/>
      <c r="JK67" s="127"/>
      <c r="JL67" s="127"/>
      <c r="JM67" s="127"/>
      <c r="JN67" s="127"/>
      <c r="JO67" s="127"/>
      <c r="JP67" s="127"/>
      <c r="JQ67" s="127"/>
      <c r="JR67" s="127"/>
      <c r="JS67" s="127"/>
      <c r="JT67" s="127"/>
      <c r="JU67" s="127"/>
      <c r="JV67" s="127"/>
      <c r="JW67" s="127"/>
      <c r="JX67" s="127"/>
      <c r="JY67" s="127"/>
      <c r="JZ67" s="127"/>
      <c r="KA67" s="127"/>
      <c r="KB67" s="127"/>
      <c r="KC67" s="127"/>
      <c r="KD67" s="127"/>
      <c r="KE67" s="127"/>
      <c r="KF67" s="127"/>
      <c r="KG67" s="127"/>
      <c r="KH67" s="127"/>
      <c r="KI67" s="127"/>
      <c r="KJ67" s="127"/>
      <c r="KK67" s="127"/>
      <c r="KL67" s="127"/>
      <c r="KM67" s="127"/>
      <c r="KN67" s="127"/>
      <c r="KO67" s="127"/>
      <c r="KP67" s="127"/>
      <c r="KQ67" s="127"/>
      <c r="KR67" s="127"/>
      <c r="KS67" s="127"/>
      <c r="KT67" s="127"/>
      <c r="KU67" s="127"/>
      <c r="KV67" s="127"/>
      <c r="KW67" s="127"/>
      <c r="KX67" s="127"/>
      <c r="KY67" s="127"/>
      <c r="KZ67" s="127"/>
      <c r="LA67" s="127"/>
      <c r="LB67" s="127"/>
      <c r="LC67" s="127"/>
      <c r="LD67" s="127"/>
      <c r="LE67" s="127"/>
      <c r="LF67" s="127"/>
      <c r="LG67" s="127"/>
      <c r="LH67" s="127"/>
      <c r="LI67" s="127"/>
      <c r="LJ67" s="127"/>
      <c r="LK67" s="127"/>
      <c r="LL67" s="127"/>
      <c r="LM67" s="127"/>
      <c r="LN67" s="127"/>
      <c r="LO67" s="127"/>
      <c r="LP67" s="127"/>
      <c r="LQ67" s="127"/>
      <c r="LR67" s="127"/>
      <c r="LS67" s="127"/>
      <c r="LT67" s="127"/>
      <c r="LU67" s="127"/>
      <c r="LV67" s="127"/>
      <c r="LW67" s="127"/>
      <c r="LX67" s="127"/>
      <c r="LY67" s="127"/>
      <c r="LZ67" s="127"/>
      <c r="MA67" s="127"/>
      <c r="MB67" s="127"/>
      <c r="MC67" s="127"/>
      <c r="MD67" s="127"/>
      <c r="ME67" s="127"/>
      <c r="MF67" s="127"/>
      <c r="MG67" s="127"/>
      <c r="MH67" s="127"/>
      <c r="MI67" s="127"/>
      <c r="MJ67" s="127"/>
      <c r="MK67" s="127"/>
      <c r="ML67" s="127"/>
      <c r="MM67" s="127"/>
      <c r="MN67" s="127"/>
      <c r="MO67" s="127"/>
      <c r="MP67" s="127"/>
      <c r="MQ67" s="127"/>
      <c r="MR67" s="127"/>
      <c r="MS67" s="127"/>
      <c r="MT67" s="127"/>
      <c r="MU67" s="127"/>
      <c r="MV67" s="127"/>
      <c r="MW67" s="127"/>
      <c r="MX67" s="127"/>
      <c r="MY67" s="127"/>
      <c r="MZ67" s="127"/>
      <c r="NA67" s="127"/>
      <c r="NB67" s="127"/>
      <c r="NC67" s="127"/>
      <c r="ND67" s="127"/>
      <c r="NE67" s="127"/>
      <c r="NF67" s="127"/>
      <c r="NG67" s="127"/>
      <c r="NH67" s="127"/>
      <c r="NI67" s="127"/>
      <c r="NJ67" s="127"/>
      <c r="NK67" s="127"/>
      <c r="NL67" s="127"/>
      <c r="NM67" s="127"/>
      <c r="NN67" s="127"/>
      <c r="NO67" s="127"/>
      <c r="NP67" s="127"/>
      <c r="NQ67" s="127"/>
      <c r="NR67" s="127"/>
      <c r="NS67" s="127"/>
      <c r="NT67" s="127"/>
      <c r="NU67" s="127"/>
      <c r="NV67" s="127"/>
      <c r="NW67" s="127"/>
      <c r="NX67" s="127"/>
      <c r="NY67" s="127"/>
      <c r="NZ67" s="127"/>
      <c r="OA67" s="127"/>
      <c r="OB67" s="127"/>
      <c r="OC67" s="127"/>
      <c r="OD67" s="127"/>
      <c r="OE67" s="127"/>
      <c r="OF67" s="127"/>
      <c r="OG67" s="127"/>
      <c r="OH67" s="128"/>
    </row>
    <row r="68" spans="1:398" x14ac:dyDescent="0.35">
      <c r="A68" s="102"/>
      <c r="B68" s="168">
        <f t="shared" si="8"/>
        <v>40</v>
      </c>
      <c r="C68" s="171" t="s">
        <v>903</v>
      </c>
      <c r="D68" s="124" t="s">
        <v>904</v>
      </c>
      <c r="E68" s="124" t="s">
        <v>750</v>
      </c>
      <c r="F68" s="125" t="s">
        <v>914</v>
      </c>
      <c r="G68" s="125" t="s">
        <v>742</v>
      </c>
      <c r="H68" s="125"/>
      <c r="I68" s="129">
        <v>0</v>
      </c>
      <c r="J68" s="129">
        <v>0</v>
      </c>
      <c r="K68" s="129">
        <v>0</v>
      </c>
      <c r="L68" s="129">
        <v>0</v>
      </c>
      <c r="M68" s="129">
        <v>0</v>
      </c>
      <c r="N68" s="129">
        <v>0</v>
      </c>
      <c r="O68" s="130">
        <f>SUM(P68,R68)</f>
        <v>0</v>
      </c>
      <c r="P68" s="129">
        <v>0</v>
      </c>
      <c r="Q68" s="129">
        <v>0</v>
      </c>
      <c r="R68" s="129">
        <v>0</v>
      </c>
      <c r="S68" s="129">
        <v>0</v>
      </c>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1"/>
      <c r="BQ68" s="131"/>
      <c r="BR68" s="131"/>
      <c r="BS68" s="131"/>
      <c r="BT68" s="131"/>
      <c r="BU68" s="131"/>
      <c r="BV68" s="131"/>
      <c r="BW68" s="131"/>
      <c r="BX68" s="131"/>
      <c r="BY68" s="131"/>
      <c r="BZ68" s="131"/>
      <c r="CA68" s="131"/>
      <c r="CB68" s="131"/>
      <c r="CC68" s="131"/>
      <c r="CD68" s="131"/>
      <c r="CE68" s="131"/>
      <c r="CF68" s="131"/>
      <c r="CG68" s="131"/>
      <c r="CH68" s="131"/>
      <c r="CI68" s="131"/>
      <c r="CJ68" s="131"/>
      <c r="CK68" s="131"/>
      <c r="CL68" s="131"/>
      <c r="CM68" s="131"/>
      <c r="CN68" s="131"/>
      <c r="CO68" s="131"/>
      <c r="CP68" s="131"/>
      <c r="CQ68" s="131"/>
      <c r="CR68" s="131"/>
      <c r="CS68" s="131"/>
      <c r="CT68" s="131"/>
      <c r="CU68" s="131"/>
      <c r="CV68" s="131"/>
      <c r="CW68" s="131"/>
      <c r="CX68" s="131"/>
      <c r="CY68" s="131"/>
      <c r="CZ68" s="131"/>
      <c r="DA68" s="131"/>
      <c r="DB68" s="131"/>
      <c r="DC68" s="131"/>
      <c r="DD68" s="131"/>
      <c r="DE68" s="131"/>
      <c r="DF68" s="131"/>
      <c r="DG68" s="131"/>
      <c r="DH68" s="131"/>
      <c r="DI68" s="131"/>
      <c r="DJ68" s="131"/>
      <c r="DK68" s="131"/>
      <c r="DL68" s="131"/>
      <c r="DM68" s="131"/>
      <c r="DN68" s="131"/>
      <c r="DO68" s="131"/>
      <c r="DP68" s="131"/>
      <c r="DQ68" s="131"/>
      <c r="DR68" s="131"/>
      <c r="DS68" s="131"/>
      <c r="DT68" s="131"/>
      <c r="DU68" s="131"/>
      <c r="DV68" s="131"/>
      <c r="DW68" s="131"/>
      <c r="DX68" s="131"/>
      <c r="DY68" s="131"/>
      <c r="DZ68" s="131"/>
      <c r="EA68" s="131"/>
      <c r="EB68" s="131"/>
      <c r="EC68" s="131"/>
      <c r="ED68" s="131"/>
      <c r="EE68" s="131"/>
      <c r="EF68" s="131"/>
      <c r="EG68" s="131"/>
      <c r="EH68" s="131"/>
      <c r="EI68" s="131"/>
      <c r="EJ68" s="131"/>
      <c r="EK68" s="131"/>
      <c r="EL68" s="131"/>
      <c r="EM68" s="131"/>
      <c r="EN68" s="131"/>
      <c r="EO68" s="131"/>
      <c r="EP68" s="131"/>
      <c r="EQ68" s="131"/>
      <c r="ER68" s="131"/>
      <c r="ES68" s="131"/>
      <c r="ET68" s="131"/>
      <c r="EU68" s="131"/>
      <c r="EV68" s="131"/>
      <c r="EW68" s="131"/>
      <c r="EX68" s="131"/>
      <c r="EY68" s="131"/>
      <c r="EZ68" s="131"/>
      <c r="FA68" s="131"/>
      <c r="FB68" s="131"/>
      <c r="FC68" s="131"/>
      <c r="FD68" s="131"/>
      <c r="FE68" s="131"/>
      <c r="FF68" s="131"/>
      <c r="FG68" s="131"/>
      <c r="FH68" s="131"/>
      <c r="FI68" s="131"/>
      <c r="FJ68" s="131"/>
      <c r="FK68" s="131"/>
      <c r="FL68" s="131"/>
      <c r="FM68" s="131"/>
      <c r="FN68" s="131"/>
      <c r="FO68" s="131"/>
      <c r="FP68" s="131"/>
      <c r="FQ68" s="131"/>
      <c r="FR68" s="131"/>
      <c r="FS68" s="131"/>
      <c r="FT68" s="131"/>
      <c r="FU68" s="131"/>
      <c r="FV68" s="131"/>
      <c r="FW68" s="131"/>
      <c r="FX68" s="131"/>
      <c r="FY68" s="131"/>
      <c r="FZ68" s="131"/>
      <c r="GA68" s="131"/>
      <c r="GB68" s="131"/>
      <c r="GC68" s="131"/>
      <c r="GD68" s="131"/>
      <c r="GE68" s="131"/>
      <c r="GF68" s="131"/>
      <c r="GG68" s="131"/>
      <c r="GH68" s="131"/>
      <c r="GI68" s="131"/>
      <c r="GJ68" s="131"/>
      <c r="GK68" s="131"/>
      <c r="GL68" s="131"/>
      <c r="GM68" s="131"/>
      <c r="GN68" s="131"/>
      <c r="GO68" s="131"/>
      <c r="GP68" s="131"/>
      <c r="GQ68" s="131"/>
      <c r="GR68" s="131"/>
      <c r="GS68" s="131"/>
      <c r="GT68" s="131"/>
      <c r="GU68" s="131"/>
      <c r="GV68" s="131"/>
      <c r="GW68" s="131"/>
      <c r="GX68" s="131"/>
      <c r="GY68" s="131"/>
      <c r="GZ68" s="131"/>
      <c r="HA68" s="131"/>
      <c r="HB68" s="131"/>
      <c r="HC68" s="131"/>
      <c r="HD68" s="131"/>
      <c r="HE68" s="131"/>
      <c r="HF68" s="131"/>
      <c r="HG68" s="131"/>
      <c r="HH68" s="131"/>
      <c r="HI68" s="131"/>
      <c r="HJ68" s="131"/>
      <c r="HK68" s="131"/>
      <c r="HL68" s="131"/>
      <c r="HM68" s="131"/>
      <c r="HN68" s="131"/>
      <c r="HO68" s="131"/>
      <c r="HP68" s="131"/>
      <c r="HQ68" s="131"/>
      <c r="HR68" s="131"/>
      <c r="HS68" s="131"/>
      <c r="HT68" s="131"/>
      <c r="HU68" s="131"/>
      <c r="HV68" s="131"/>
      <c r="HW68" s="131"/>
      <c r="HX68" s="131"/>
      <c r="HY68" s="131"/>
      <c r="HZ68" s="131"/>
      <c r="IA68" s="131"/>
      <c r="IB68" s="131"/>
      <c r="IC68" s="131"/>
      <c r="ID68" s="131"/>
      <c r="IE68" s="131"/>
      <c r="IF68" s="131"/>
      <c r="IG68" s="131"/>
      <c r="IH68" s="131"/>
      <c r="II68" s="131"/>
      <c r="IJ68" s="131"/>
      <c r="IK68" s="131"/>
      <c r="IL68" s="131"/>
      <c r="IM68" s="131"/>
      <c r="IN68" s="131"/>
      <c r="IO68" s="131"/>
      <c r="IP68" s="131"/>
      <c r="IQ68" s="131"/>
      <c r="IR68" s="131"/>
      <c r="IS68" s="131"/>
      <c r="IT68" s="131"/>
      <c r="IU68" s="131"/>
      <c r="IV68" s="131"/>
      <c r="IW68" s="131"/>
      <c r="IX68" s="131"/>
      <c r="IY68" s="131"/>
      <c r="IZ68" s="131"/>
      <c r="JA68" s="131"/>
      <c r="JB68" s="131"/>
      <c r="JC68" s="131"/>
      <c r="JD68" s="131"/>
      <c r="JE68" s="131"/>
      <c r="JF68" s="131"/>
      <c r="JG68" s="131"/>
      <c r="JH68" s="131"/>
      <c r="JI68" s="131"/>
      <c r="JJ68" s="131"/>
      <c r="JK68" s="131"/>
      <c r="JL68" s="131"/>
      <c r="JM68" s="131"/>
      <c r="JN68" s="131"/>
      <c r="JO68" s="131"/>
      <c r="JP68" s="131"/>
      <c r="JQ68" s="131"/>
      <c r="JR68" s="131"/>
      <c r="JS68" s="131"/>
      <c r="JT68" s="131"/>
      <c r="JU68" s="131"/>
      <c r="JV68" s="131"/>
      <c r="JW68" s="131"/>
      <c r="JX68" s="131"/>
      <c r="JY68" s="131"/>
      <c r="JZ68" s="131"/>
      <c r="KA68" s="131"/>
      <c r="KB68" s="131"/>
      <c r="KC68" s="131"/>
      <c r="KD68" s="131"/>
      <c r="KE68" s="131"/>
      <c r="KF68" s="131"/>
      <c r="KG68" s="131"/>
      <c r="KH68" s="131"/>
      <c r="KI68" s="131"/>
      <c r="KJ68" s="131"/>
      <c r="KK68" s="131"/>
      <c r="KL68" s="131"/>
      <c r="KM68" s="131"/>
      <c r="KN68" s="131"/>
      <c r="KO68" s="131"/>
      <c r="KP68" s="131"/>
      <c r="KQ68" s="131"/>
      <c r="KR68" s="131"/>
      <c r="KS68" s="131"/>
      <c r="KT68" s="131"/>
      <c r="KU68" s="131"/>
      <c r="KV68" s="131"/>
      <c r="KW68" s="131"/>
      <c r="KX68" s="131"/>
      <c r="KY68" s="131"/>
      <c r="KZ68" s="131"/>
      <c r="LA68" s="131"/>
      <c r="LB68" s="131"/>
      <c r="LC68" s="131"/>
      <c r="LD68" s="131"/>
      <c r="LE68" s="131"/>
      <c r="LF68" s="131"/>
      <c r="LG68" s="131"/>
      <c r="LH68" s="131"/>
      <c r="LI68" s="131"/>
      <c r="LJ68" s="131"/>
      <c r="LK68" s="131"/>
      <c r="LL68" s="131"/>
      <c r="LM68" s="131"/>
      <c r="LN68" s="131"/>
      <c r="LO68" s="131"/>
      <c r="LP68" s="131"/>
      <c r="LQ68" s="131"/>
      <c r="LR68" s="131"/>
      <c r="LS68" s="131"/>
      <c r="LT68" s="131"/>
      <c r="LU68" s="131"/>
      <c r="LV68" s="131"/>
      <c r="LW68" s="131"/>
      <c r="LX68" s="131"/>
      <c r="LY68" s="131"/>
      <c r="LZ68" s="131"/>
      <c r="MA68" s="131"/>
      <c r="MB68" s="131"/>
      <c r="MC68" s="131"/>
      <c r="MD68" s="131"/>
      <c r="ME68" s="131"/>
      <c r="MF68" s="131"/>
      <c r="MG68" s="131"/>
      <c r="MH68" s="131"/>
      <c r="MI68" s="131"/>
      <c r="MJ68" s="131"/>
      <c r="MK68" s="131"/>
      <c r="ML68" s="131"/>
      <c r="MM68" s="131"/>
      <c r="MN68" s="131"/>
      <c r="MO68" s="131"/>
      <c r="MP68" s="131"/>
      <c r="MQ68" s="131"/>
      <c r="MR68" s="131"/>
      <c r="MS68" s="131"/>
      <c r="MT68" s="131"/>
      <c r="MU68" s="131"/>
      <c r="MV68" s="131"/>
      <c r="MW68" s="131"/>
      <c r="MX68" s="131"/>
      <c r="MY68" s="131"/>
      <c r="MZ68" s="131"/>
      <c r="NA68" s="131"/>
      <c r="NB68" s="131"/>
      <c r="NC68" s="131"/>
      <c r="ND68" s="131"/>
      <c r="NE68" s="131"/>
      <c r="NF68" s="131"/>
      <c r="NG68" s="131"/>
      <c r="NH68" s="131"/>
      <c r="NI68" s="131"/>
      <c r="NJ68" s="131"/>
      <c r="NK68" s="131"/>
      <c r="NL68" s="131"/>
      <c r="NM68" s="131"/>
      <c r="NN68" s="131"/>
      <c r="NO68" s="131"/>
      <c r="NP68" s="131"/>
      <c r="NQ68" s="131"/>
      <c r="NR68" s="131"/>
      <c r="NS68" s="131"/>
      <c r="NT68" s="131"/>
      <c r="NU68" s="131"/>
      <c r="NV68" s="131"/>
      <c r="NW68" s="131"/>
      <c r="NX68" s="131"/>
      <c r="NY68" s="131"/>
      <c r="NZ68" s="131"/>
      <c r="OA68" s="131"/>
      <c r="OB68" s="131"/>
      <c r="OC68" s="131"/>
      <c r="OD68" s="131"/>
      <c r="OE68" s="131"/>
      <c r="OF68" s="131"/>
      <c r="OG68" s="131"/>
      <c r="OH68" s="132"/>
    </row>
    <row r="69" spans="1:398" x14ac:dyDescent="0.35">
      <c r="A69" s="102"/>
      <c r="B69" s="168">
        <f t="shared" si="8"/>
        <v>41</v>
      </c>
      <c r="C69" s="171" t="s">
        <v>903</v>
      </c>
      <c r="D69" s="124" t="s">
        <v>904</v>
      </c>
      <c r="E69" s="124" t="s">
        <v>750</v>
      </c>
      <c r="F69" s="125" t="s">
        <v>914</v>
      </c>
      <c r="G69" s="125" t="s">
        <v>743</v>
      </c>
      <c r="H69" s="125"/>
      <c r="I69" s="129">
        <v>0</v>
      </c>
      <c r="J69" s="129">
        <v>0</v>
      </c>
      <c r="K69" s="129">
        <v>0</v>
      </c>
      <c r="L69" s="129">
        <v>0</v>
      </c>
      <c r="M69" s="129">
        <v>0</v>
      </c>
      <c r="N69" s="129">
        <v>0</v>
      </c>
      <c r="O69" s="130">
        <f>SUM(P69,R69)</f>
        <v>0</v>
      </c>
      <c r="P69" s="129">
        <v>0</v>
      </c>
      <c r="Q69" s="129">
        <v>0</v>
      </c>
      <c r="R69" s="129">
        <v>0</v>
      </c>
      <c r="S69" s="129">
        <v>0</v>
      </c>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31"/>
      <c r="CF69" s="131"/>
      <c r="CG69" s="131"/>
      <c r="CH69" s="131"/>
      <c r="CI69" s="131"/>
      <c r="CJ69" s="131"/>
      <c r="CK69" s="131"/>
      <c r="CL69" s="131"/>
      <c r="CM69" s="131"/>
      <c r="CN69" s="131"/>
      <c r="CO69" s="131"/>
      <c r="CP69" s="131"/>
      <c r="CQ69" s="131"/>
      <c r="CR69" s="131"/>
      <c r="CS69" s="131"/>
      <c r="CT69" s="131"/>
      <c r="CU69" s="131"/>
      <c r="CV69" s="131"/>
      <c r="CW69" s="131"/>
      <c r="CX69" s="131"/>
      <c r="CY69" s="131"/>
      <c r="CZ69" s="131"/>
      <c r="DA69" s="131"/>
      <c r="DB69" s="131"/>
      <c r="DC69" s="131"/>
      <c r="DD69" s="131"/>
      <c r="DE69" s="131"/>
      <c r="DF69" s="131"/>
      <c r="DG69" s="131"/>
      <c r="DH69" s="131"/>
      <c r="DI69" s="131"/>
      <c r="DJ69" s="131"/>
      <c r="DK69" s="131"/>
      <c r="DL69" s="131"/>
      <c r="DM69" s="131"/>
      <c r="DN69" s="131"/>
      <c r="DO69" s="131"/>
      <c r="DP69" s="131"/>
      <c r="DQ69" s="131"/>
      <c r="DR69" s="131"/>
      <c r="DS69" s="131"/>
      <c r="DT69" s="131"/>
      <c r="DU69" s="131"/>
      <c r="DV69" s="131"/>
      <c r="DW69" s="131"/>
      <c r="DX69" s="131"/>
      <c r="DY69" s="131"/>
      <c r="DZ69" s="131"/>
      <c r="EA69" s="131"/>
      <c r="EB69" s="131"/>
      <c r="EC69" s="131"/>
      <c r="ED69" s="131"/>
      <c r="EE69" s="131"/>
      <c r="EF69" s="131"/>
      <c r="EG69" s="131"/>
      <c r="EH69" s="131"/>
      <c r="EI69" s="131"/>
      <c r="EJ69" s="131"/>
      <c r="EK69" s="131"/>
      <c r="EL69" s="131"/>
      <c r="EM69" s="131"/>
      <c r="EN69" s="131"/>
      <c r="EO69" s="131"/>
      <c r="EP69" s="131"/>
      <c r="EQ69" s="131"/>
      <c r="ER69" s="131"/>
      <c r="ES69" s="131"/>
      <c r="ET69" s="131"/>
      <c r="EU69" s="131"/>
      <c r="EV69" s="131"/>
      <c r="EW69" s="131"/>
      <c r="EX69" s="131"/>
      <c r="EY69" s="131"/>
      <c r="EZ69" s="131"/>
      <c r="FA69" s="131"/>
      <c r="FB69" s="131"/>
      <c r="FC69" s="131"/>
      <c r="FD69" s="131"/>
      <c r="FE69" s="131"/>
      <c r="FF69" s="131"/>
      <c r="FG69" s="131"/>
      <c r="FH69" s="131"/>
      <c r="FI69" s="131"/>
      <c r="FJ69" s="131"/>
      <c r="FK69" s="131"/>
      <c r="FL69" s="131"/>
      <c r="FM69" s="131"/>
      <c r="FN69" s="131"/>
      <c r="FO69" s="131"/>
      <c r="FP69" s="131"/>
      <c r="FQ69" s="131"/>
      <c r="FR69" s="131"/>
      <c r="FS69" s="131"/>
      <c r="FT69" s="131"/>
      <c r="FU69" s="131"/>
      <c r="FV69" s="131"/>
      <c r="FW69" s="131"/>
      <c r="FX69" s="131"/>
      <c r="FY69" s="131"/>
      <c r="FZ69" s="131"/>
      <c r="GA69" s="131"/>
      <c r="GB69" s="131"/>
      <c r="GC69" s="131"/>
      <c r="GD69" s="131"/>
      <c r="GE69" s="131"/>
      <c r="GF69" s="131"/>
      <c r="GG69" s="131"/>
      <c r="GH69" s="131"/>
      <c r="GI69" s="131"/>
      <c r="GJ69" s="131"/>
      <c r="GK69" s="131"/>
      <c r="GL69" s="131"/>
      <c r="GM69" s="131"/>
      <c r="GN69" s="131"/>
      <c r="GO69" s="131"/>
      <c r="GP69" s="131"/>
      <c r="GQ69" s="131"/>
      <c r="GR69" s="131"/>
      <c r="GS69" s="131"/>
      <c r="GT69" s="131"/>
      <c r="GU69" s="131"/>
      <c r="GV69" s="131"/>
      <c r="GW69" s="131"/>
      <c r="GX69" s="131"/>
      <c r="GY69" s="131"/>
      <c r="GZ69" s="131"/>
      <c r="HA69" s="131"/>
      <c r="HB69" s="131"/>
      <c r="HC69" s="131"/>
      <c r="HD69" s="131"/>
      <c r="HE69" s="131"/>
      <c r="HF69" s="131"/>
      <c r="HG69" s="131"/>
      <c r="HH69" s="131"/>
      <c r="HI69" s="131"/>
      <c r="HJ69" s="131"/>
      <c r="HK69" s="131"/>
      <c r="HL69" s="131"/>
      <c r="HM69" s="131"/>
      <c r="HN69" s="131"/>
      <c r="HO69" s="131"/>
      <c r="HP69" s="131"/>
      <c r="HQ69" s="131"/>
      <c r="HR69" s="131"/>
      <c r="HS69" s="131"/>
      <c r="HT69" s="131"/>
      <c r="HU69" s="131"/>
      <c r="HV69" s="131"/>
      <c r="HW69" s="131"/>
      <c r="HX69" s="131"/>
      <c r="HY69" s="131"/>
      <c r="HZ69" s="131"/>
      <c r="IA69" s="131"/>
      <c r="IB69" s="131"/>
      <c r="IC69" s="131"/>
      <c r="ID69" s="131"/>
      <c r="IE69" s="131"/>
      <c r="IF69" s="131"/>
      <c r="IG69" s="131"/>
      <c r="IH69" s="131"/>
      <c r="II69" s="131"/>
      <c r="IJ69" s="131"/>
      <c r="IK69" s="131"/>
      <c r="IL69" s="131"/>
      <c r="IM69" s="131"/>
      <c r="IN69" s="131"/>
      <c r="IO69" s="131"/>
      <c r="IP69" s="131"/>
      <c r="IQ69" s="131"/>
      <c r="IR69" s="131"/>
      <c r="IS69" s="131"/>
      <c r="IT69" s="131"/>
      <c r="IU69" s="131"/>
      <c r="IV69" s="131"/>
      <c r="IW69" s="131"/>
      <c r="IX69" s="131"/>
      <c r="IY69" s="131"/>
      <c r="IZ69" s="131"/>
      <c r="JA69" s="131"/>
      <c r="JB69" s="131"/>
      <c r="JC69" s="131"/>
      <c r="JD69" s="131"/>
      <c r="JE69" s="131"/>
      <c r="JF69" s="131"/>
      <c r="JG69" s="131"/>
      <c r="JH69" s="131"/>
      <c r="JI69" s="131"/>
      <c r="JJ69" s="131"/>
      <c r="JK69" s="131"/>
      <c r="JL69" s="131"/>
      <c r="JM69" s="131"/>
      <c r="JN69" s="131"/>
      <c r="JO69" s="131"/>
      <c r="JP69" s="131"/>
      <c r="JQ69" s="131"/>
      <c r="JR69" s="131"/>
      <c r="JS69" s="131"/>
      <c r="JT69" s="131"/>
      <c r="JU69" s="131"/>
      <c r="JV69" s="131"/>
      <c r="JW69" s="131"/>
      <c r="JX69" s="131"/>
      <c r="JY69" s="131"/>
      <c r="JZ69" s="131"/>
      <c r="KA69" s="131"/>
      <c r="KB69" s="131"/>
      <c r="KC69" s="131"/>
      <c r="KD69" s="131"/>
      <c r="KE69" s="131"/>
      <c r="KF69" s="131"/>
      <c r="KG69" s="131"/>
      <c r="KH69" s="131"/>
      <c r="KI69" s="131"/>
      <c r="KJ69" s="131"/>
      <c r="KK69" s="131"/>
      <c r="KL69" s="131"/>
      <c r="KM69" s="131"/>
      <c r="KN69" s="131"/>
      <c r="KO69" s="131"/>
      <c r="KP69" s="131"/>
      <c r="KQ69" s="131"/>
      <c r="KR69" s="131"/>
      <c r="KS69" s="131"/>
      <c r="KT69" s="131"/>
      <c r="KU69" s="131"/>
      <c r="KV69" s="131"/>
      <c r="KW69" s="131"/>
      <c r="KX69" s="131"/>
      <c r="KY69" s="131"/>
      <c r="KZ69" s="131"/>
      <c r="LA69" s="131"/>
      <c r="LB69" s="131"/>
      <c r="LC69" s="131"/>
      <c r="LD69" s="131"/>
      <c r="LE69" s="131"/>
      <c r="LF69" s="131"/>
      <c r="LG69" s="131"/>
      <c r="LH69" s="131"/>
      <c r="LI69" s="131"/>
      <c r="LJ69" s="131"/>
      <c r="LK69" s="131"/>
      <c r="LL69" s="131"/>
      <c r="LM69" s="131"/>
      <c r="LN69" s="131"/>
      <c r="LO69" s="131"/>
      <c r="LP69" s="131"/>
      <c r="LQ69" s="131"/>
      <c r="LR69" s="131"/>
      <c r="LS69" s="131"/>
      <c r="LT69" s="131"/>
      <c r="LU69" s="131"/>
      <c r="LV69" s="131"/>
      <c r="LW69" s="131"/>
      <c r="LX69" s="131"/>
      <c r="LY69" s="131"/>
      <c r="LZ69" s="131"/>
      <c r="MA69" s="131"/>
      <c r="MB69" s="131"/>
      <c r="MC69" s="131"/>
      <c r="MD69" s="131"/>
      <c r="ME69" s="131"/>
      <c r="MF69" s="131"/>
      <c r="MG69" s="131"/>
      <c r="MH69" s="131"/>
      <c r="MI69" s="131"/>
      <c r="MJ69" s="131"/>
      <c r="MK69" s="131"/>
      <c r="ML69" s="131"/>
      <c r="MM69" s="131"/>
      <c r="MN69" s="131"/>
      <c r="MO69" s="131"/>
      <c r="MP69" s="131"/>
      <c r="MQ69" s="131"/>
      <c r="MR69" s="131"/>
      <c r="MS69" s="131"/>
      <c r="MT69" s="131"/>
      <c r="MU69" s="131"/>
      <c r="MV69" s="131"/>
      <c r="MW69" s="131"/>
      <c r="MX69" s="131"/>
      <c r="MY69" s="131"/>
      <c r="MZ69" s="131"/>
      <c r="NA69" s="131"/>
      <c r="NB69" s="131"/>
      <c r="NC69" s="131"/>
      <c r="ND69" s="131"/>
      <c r="NE69" s="131"/>
      <c r="NF69" s="131"/>
      <c r="NG69" s="131"/>
      <c r="NH69" s="131"/>
      <c r="NI69" s="131"/>
      <c r="NJ69" s="131"/>
      <c r="NK69" s="131"/>
      <c r="NL69" s="131"/>
      <c r="NM69" s="131"/>
      <c r="NN69" s="131"/>
      <c r="NO69" s="131"/>
      <c r="NP69" s="131"/>
      <c r="NQ69" s="131"/>
      <c r="NR69" s="131"/>
      <c r="NS69" s="131"/>
      <c r="NT69" s="131"/>
      <c r="NU69" s="131"/>
      <c r="NV69" s="131"/>
      <c r="NW69" s="131"/>
      <c r="NX69" s="131"/>
      <c r="NY69" s="131"/>
      <c r="NZ69" s="131"/>
      <c r="OA69" s="131"/>
      <c r="OB69" s="131"/>
      <c r="OC69" s="131"/>
      <c r="OD69" s="131"/>
      <c r="OE69" s="131"/>
      <c r="OF69" s="131"/>
      <c r="OG69" s="131"/>
      <c r="OH69" s="132"/>
    </row>
    <row r="70" spans="1:398" x14ac:dyDescent="0.35">
      <c r="A70" s="102"/>
      <c r="B70" s="168">
        <f t="shared" si="8"/>
        <v>42</v>
      </c>
      <c r="C70" s="171" t="s">
        <v>903</v>
      </c>
      <c r="D70" s="124" t="s">
        <v>904</v>
      </c>
      <c r="E70" s="124" t="s">
        <v>750</v>
      </c>
      <c r="F70" s="125" t="s">
        <v>914</v>
      </c>
      <c r="G70" s="125" t="s">
        <v>202</v>
      </c>
      <c r="H70" s="125"/>
      <c r="I70" s="129">
        <v>0</v>
      </c>
      <c r="J70" s="129">
        <v>0</v>
      </c>
      <c r="K70" s="129">
        <v>0</v>
      </c>
      <c r="L70" s="129">
        <v>0</v>
      </c>
      <c r="M70" s="129">
        <v>0</v>
      </c>
      <c r="N70" s="129">
        <v>0</v>
      </c>
      <c r="O70" s="130">
        <f>SUM(P70,R70)</f>
        <v>0</v>
      </c>
      <c r="P70" s="129">
        <v>0</v>
      </c>
      <c r="Q70" s="129">
        <v>0</v>
      </c>
      <c r="R70" s="129">
        <v>0</v>
      </c>
      <c r="S70" s="129">
        <v>0</v>
      </c>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31"/>
      <c r="CF70" s="131"/>
      <c r="CG70" s="131"/>
      <c r="CH70" s="131"/>
      <c r="CI70" s="131"/>
      <c r="CJ70" s="131"/>
      <c r="CK70" s="131"/>
      <c r="CL70" s="131"/>
      <c r="CM70" s="131"/>
      <c r="CN70" s="131"/>
      <c r="CO70" s="131"/>
      <c r="CP70" s="131"/>
      <c r="CQ70" s="131"/>
      <c r="CR70" s="131"/>
      <c r="CS70" s="131"/>
      <c r="CT70" s="131"/>
      <c r="CU70" s="131"/>
      <c r="CV70" s="131"/>
      <c r="CW70" s="131"/>
      <c r="CX70" s="131"/>
      <c r="CY70" s="131"/>
      <c r="CZ70" s="131"/>
      <c r="DA70" s="131"/>
      <c r="DB70" s="131"/>
      <c r="DC70" s="131"/>
      <c r="DD70" s="131"/>
      <c r="DE70" s="131"/>
      <c r="DF70" s="131"/>
      <c r="DG70" s="131"/>
      <c r="DH70" s="131"/>
      <c r="DI70" s="131"/>
      <c r="DJ70" s="131"/>
      <c r="DK70" s="131"/>
      <c r="DL70" s="131"/>
      <c r="DM70" s="131"/>
      <c r="DN70" s="131"/>
      <c r="DO70" s="131"/>
      <c r="DP70" s="131"/>
      <c r="DQ70" s="131"/>
      <c r="DR70" s="131"/>
      <c r="DS70" s="131"/>
      <c r="DT70" s="131"/>
      <c r="DU70" s="131"/>
      <c r="DV70" s="131"/>
      <c r="DW70" s="131"/>
      <c r="DX70" s="131"/>
      <c r="DY70" s="131"/>
      <c r="DZ70" s="131"/>
      <c r="EA70" s="131"/>
      <c r="EB70" s="131"/>
      <c r="EC70" s="131"/>
      <c r="ED70" s="131"/>
      <c r="EE70" s="131"/>
      <c r="EF70" s="131"/>
      <c r="EG70" s="131"/>
      <c r="EH70" s="131"/>
      <c r="EI70" s="131"/>
      <c r="EJ70" s="131"/>
      <c r="EK70" s="131"/>
      <c r="EL70" s="131"/>
      <c r="EM70" s="131"/>
      <c r="EN70" s="131"/>
      <c r="EO70" s="131"/>
      <c r="EP70" s="131"/>
      <c r="EQ70" s="131"/>
      <c r="ER70" s="131"/>
      <c r="ES70" s="131"/>
      <c r="ET70" s="131"/>
      <c r="EU70" s="131"/>
      <c r="EV70" s="131"/>
      <c r="EW70" s="131"/>
      <c r="EX70" s="131"/>
      <c r="EY70" s="131"/>
      <c r="EZ70" s="131"/>
      <c r="FA70" s="131"/>
      <c r="FB70" s="131"/>
      <c r="FC70" s="131"/>
      <c r="FD70" s="131"/>
      <c r="FE70" s="131"/>
      <c r="FF70" s="131"/>
      <c r="FG70" s="131"/>
      <c r="FH70" s="131"/>
      <c r="FI70" s="131"/>
      <c r="FJ70" s="131"/>
      <c r="FK70" s="131"/>
      <c r="FL70" s="131"/>
      <c r="FM70" s="131"/>
      <c r="FN70" s="131"/>
      <c r="FO70" s="131"/>
      <c r="FP70" s="131"/>
      <c r="FQ70" s="131"/>
      <c r="FR70" s="131"/>
      <c r="FS70" s="131"/>
      <c r="FT70" s="131"/>
      <c r="FU70" s="131"/>
      <c r="FV70" s="131"/>
      <c r="FW70" s="131"/>
      <c r="FX70" s="131"/>
      <c r="FY70" s="131"/>
      <c r="FZ70" s="131"/>
      <c r="GA70" s="131"/>
      <c r="GB70" s="131"/>
      <c r="GC70" s="131"/>
      <c r="GD70" s="131"/>
      <c r="GE70" s="131"/>
      <c r="GF70" s="131"/>
      <c r="GG70" s="131"/>
      <c r="GH70" s="131"/>
      <c r="GI70" s="131"/>
      <c r="GJ70" s="131"/>
      <c r="GK70" s="131"/>
      <c r="GL70" s="131"/>
      <c r="GM70" s="131"/>
      <c r="GN70" s="131"/>
      <c r="GO70" s="131"/>
      <c r="GP70" s="131"/>
      <c r="GQ70" s="131"/>
      <c r="GR70" s="131"/>
      <c r="GS70" s="131"/>
      <c r="GT70" s="131"/>
      <c r="GU70" s="131"/>
      <c r="GV70" s="131"/>
      <c r="GW70" s="131"/>
      <c r="GX70" s="131"/>
      <c r="GY70" s="131"/>
      <c r="GZ70" s="131"/>
      <c r="HA70" s="131"/>
      <c r="HB70" s="131"/>
      <c r="HC70" s="131"/>
      <c r="HD70" s="131"/>
      <c r="HE70" s="131"/>
      <c r="HF70" s="131"/>
      <c r="HG70" s="131"/>
      <c r="HH70" s="131"/>
      <c r="HI70" s="131"/>
      <c r="HJ70" s="131"/>
      <c r="HK70" s="131"/>
      <c r="HL70" s="131"/>
      <c r="HM70" s="131"/>
      <c r="HN70" s="131"/>
      <c r="HO70" s="131"/>
      <c r="HP70" s="131"/>
      <c r="HQ70" s="131"/>
      <c r="HR70" s="131"/>
      <c r="HS70" s="131"/>
      <c r="HT70" s="131"/>
      <c r="HU70" s="131"/>
      <c r="HV70" s="131"/>
      <c r="HW70" s="131"/>
      <c r="HX70" s="131"/>
      <c r="HY70" s="131"/>
      <c r="HZ70" s="131"/>
      <c r="IA70" s="131"/>
      <c r="IB70" s="131"/>
      <c r="IC70" s="131"/>
      <c r="ID70" s="131"/>
      <c r="IE70" s="131"/>
      <c r="IF70" s="131"/>
      <c r="IG70" s="131"/>
      <c r="IH70" s="131"/>
      <c r="II70" s="131"/>
      <c r="IJ70" s="131"/>
      <c r="IK70" s="131"/>
      <c r="IL70" s="131"/>
      <c r="IM70" s="131"/>
      <c r="IN70" s="131"/>
      <c r="IO70" s="131"/>
      <c r="IP70" s="131"/>
      <c r="IQ70" s="131"/>
      <c r="IR70" s="131"/>
      <c r="IS70" s="131"/>
      <c r="IT70" s="131"/>
      <c r="IU70" s="131"/>
      <c r="IV70" s="131"/>
      <c r="IW70" s="131"/>
      <c r="IX70" s="131"/>
      <c r="IY70" s="131"/>
      <c r="IZ70" s="131"/>
      <c r="JA70" s="131"/>
      <c r="JB70" s="131"/>
      <c r="JC70" s="131"/>
      <c r="JD70" s="131"/>
      <c r="JE70" s="131"/>
      <c r="JF70" s="131"/>
      <c r="JG70" s="131"/>
      <c r="JH70" s="131"/>
      <c r="JI70" s="131"/>
      <c r="JJ70" s="131"/>
      <c r="JK70" s="131"/>
      <c r="JL70" s="131"/>
      <c r="JM70" s="131"/>
      <c r="JN70" s="131"/>
      <c r="JO70" s="131"/>
      <c r="JP70" s="131"/>
      <c r="JQ70" s="131"/>
      <c r="JR70" s="131"/>
      <c r="JS70" s="131"/>
      <c r="JT70" s="131"/>
      <c r="JU70" s="131"/>
      <c r="JV70" s="131"/>
      <c r="JW70" s="131"/>
      <c r="JX70" s="131"/>
      <c r="JY70" s="131"/>
      <c r="JZ70" s="131"/>
      <c r="KA70" s="131"/>
      <c r="KB70" s="131"/>
      <c r="KC70" s="131"/>
      <c r="KD70" s="131"/>
      <c r="KE70" s="131"/>
      <c r="KF70" s="131"/>
      <c r="KG70" s="131"/>
      <c r="KH70" s="131"/>
      <c r="KI70" s="131"/>
      <c r="KJ70" s="131"/>
      <c r="KK70" s="131"/>
      <c r="KL70" s="131"/>
      <c r="KM70" s="131"/>
      <c r="KN70" s="131"/>
      <c r="KO70" s="131"/>
      <c r="KP70" s="131"/>
      <c r="KQ70" s="131"/>
      <c r="KR70" s="131"/>
      <c r="KS70" s="131"/>
      <c r="KT70" s="131"/>
      <c r="KU70" s="131"/>
      <c r="KV70" s="131"/>
      <c r="KW70" s="131"/>
      <c r="KX70" s="131"/>
      <c r="KY70" s="131"/>
      <c r="KZ70" s="131"/>
      <c r="LA70" s="131"/>
      <c r="LB70" s="131"/>
      <c r="LC70" s="131"/>
      <c r="LD70" s="131"/>
      <c r="LE70" s="131"/>
      <c r="LF70" s="131"/>
      <c r="LG70" s="131"/>
      <c r="LH70" s="131"/>
      <c r="LI70" s="131"/>
      <c r="LJ70" s="131"/>
      <c r="LK70" s="131"/>
      <c r="LL70" s="131"/>
      <c r="LM70" s="131"/>
      <c r="LN70" s="131"/>
      <c r="LO70" s="131"/>
      <c r="LP70" s="131"/>
      <c r="LQ70" s="131"/>
      <c r="LR70" s="131"/>
      <c r="LS70" s="131"/>
      <c r="LT70" s="131"/>
      <c r="LU70" s="131"/>
      <c r="LV70" s="131"/>
      <c r="LW70" s="131"/>
      <c r="LX70" s="131"/>
      <c r="LY70" s="131"/>
      <c r="LZ70" s="131"/>
      <c r="MA70" s="131"/>
      <c r="MB70" s="131"/>
      <c r="MC70" s="131"/>
      <c r="MD70" s="131"/>
      <c r="ME70" s="131"/>
      <c r="MF70" s="131"/>
      <c r="MG70" s="131"/>
      <c r="MH70" s="131"/>
      <c r="MI70" s="131"/>
      <c r="MJ70" s="131"/>
      <c r="MK70" s="131"/>
      <c r="ML70" s="131"/>
      <c r="MM70" s="131"/>
      <c r="MN70" s="131"/>
      <c r="MO70" s="131"/>
      <c r="MP70" s="131"/>
      <c r="MQ70" s="131"/>
      <c r="MR70" s="131"/>
      <c r="MS70" s="131"/>
      <c r="MT70" s="131"/>
      <c r="MU70" s="131"/>
      <c r="MV70" s="131"/>
      <c r="MW70" s="131"/>
      <c r="MX70" s="131"/>
      <c r="MY70" s="131"/>
      <c r="MZ70" s="131"/>
      <c r="NA70" s="131"/>
      <c r="NB70" s="131"/>
      <c r="NC70" s="131"/>
      <c r="ND70" s="131"/>
      <c r="NE70" s="131"/>
      <c r="NF70" s="131"/>
      <c r="NG70" s="131"/>
      <c r="NH70" s="131"/>
      <c r="NI70" s="131"/>
      <c r="NJ70" s="131"/>
      <c r="NK70" s="131"/>
      <c r="NL70" s="131"/>
      <c r="NM70" s="131"/>
      <c r="NN70" s="131"/>
      <c r="NO70" s="131"/>
      <c r="NP70" s="131"/>
      <c r="NQ70" s="131"/>
      <c r="NR70" s="131"/>
      <c r="NS70" s="131"/>
      <c r="NT70" s="131"/>
      <c r="NU70" s="131"/>
      <c r="NV70" s="131"/>
      <c r="NW70" s="131"/>
      <c r="NX70" s="131"/>
      <c r="NY70" s="131"/>
      <c r="NZ70" s="131"/>
      <c r="OA70" s="131"/>
      <c r="OB70" s="131"/>
      <c r="OC70" s="131"/>
      <c r="OD70" s="131"/>
      <c r="OE70" s="131"/>
      <c r="OF70" s="131"/>
      <c r="OG70" s="131"/>
      <c r="OH70" s="132"/>
    </row>
    <row r="71" spans="1:398" x14ac:dyDescent="0.35">
      <c r="A71" s="102"/>
      <c r="B71" s="168">
        <f t="shared" si="8"/>
        <v>43</v>
      </c>
      <c r="C71" s="171" t="s">
        <v>903</v>
      </c>
      <c r="D71" s="124" t="s">
        <v>904</v>
      </c>
      <c r="E71" s="124" t="s">
        <v>750</v>
      </c>
      <c r="F71" s="125" t="s">
        <v>914</v>
      </c>
      <c r="G71" s="125" t="s">
        <v>738</v>
      </c>
      <c r="H71" s="125"/>
      <c r="I71" s="130">
        <f t="shared" ref="I71:R71" si="42">SUM(I67:I70)</f>
        <v>0</v>
      </c>
      <c r="J71" s="130">
        <f t="shared" si="42"/>
        <v>0</v>
      </c>
      <c r="K71" s="130">
        <f t="shared" si="42"/>
        <v>0</v>
      </c>
      <c r="L71" s="130">
        <f t="shared" si="42"/>
        <v>0</v>
      </c>
      <c r="M71" s="130">
        <f t="shared" si="42"/>
        <v>0</v>
      </c>
      <c r="N71" s="130">
        <f t="shared" si="42"/>
        <v>0</v>
      </c>
      <c r="O71" s="130">
        <f t="shared" si="42"/>
        <v>0</v>
      </c>
      <c r="P71" s="130">
        <f t="shared" si="42"/>
        <v>0</v>
      </c>
      <c r="Q71" s="130">
        <f t="shared" si="42"/>
        <v>0</v>
      </c>
      <c r="R71" s="130">
        <f t="shared" si="42"/>
        <v>0</v>
      </c>
      <c r="S71" s="130">
        <f>SUM(S67:S70)</f>
        <v>0</v>
      </c>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1"/>
      <c r="BQ71" s="131"/>
      <c r="BR71" s="131"/>
      <c r="BS71" s="131"/>
      <c r="BT71" s="131"/>
      <c r="BU71" s="131"/>
      <c r="BV71" s="131"/>
      <c r="BW71" s="131"/>
      <c r="BX71" s="131"/>
      <c r="BY71" s="131"/>
      <c r="BZ71" s="131"/>
      <c r="CA71" s="131"/>
      <c r="CB71" s="131"/>
      <c r="CC71" s="131"/>
      <c r="CD71" s="131"/>
      <c r="CE71" s="131"/>
      <c r="CF71" s="131"/>
      <c r="CG71" s="131"/>
      <c r="CH71" s="131"/>
      <c r="CI71" s="131"/>
      <c r="CJ71" s="131"/>
      <c r="CK71" s="131"/>
      <c r="CL71" s="131"/>
      <c r="CM71" s="131"/>
      <c r="CN71" s="131"/>
      <c r="CO71" s="131"/>
      <c r="CP71" s="131"/>
      <c r="CQ71" s="131"/>
      <c r="CR71" s="131"/>
      <c r="CS71" s="131"/>
      <c r="CT71" s="131"/>
      <c r="CU71" s="131"/>
      <c r="CV71" s="131"/>
      <c r="CW71" s="131"/>
      <c r="CX71" s="131"/>
      <c r="CY71" s="131"/>
      <c r="CZ71" s="131"/>
      <c r="DA71" s="131"/>
      <c r="DB71" s="131"/>
      <c r="DC71" s="131"/>
      <c r="DD71" s="131"/>
      <c r="DE71" s="131"/>
      <c r="DF71" s="131"/>
      <c r="DG71" s="131"/>
      <c r="DH71" s="131"/>
      <c r="DI71" s="131"/>
      <c r="DJ71" s="131"/>
      <c r="DK71" s="131"/>
      <c r="DL71" s="131"/>
      <c r="DM71" s="131"/>
      <c r="DN71" s="131"/>
      <c r="DO71" s="131"/>
      <c r="DP71" s="131"/>
      <c r="DQ71" s="131"/>
      <c r="DR71" s="131"/>
      <c r="DS71" s="131"/>
      <c r="DT71" s="131"/>
      <c r="DU71" s="131"/>
      <c r="DV71" s="131"/>
      <c r="DW71" s="131"/>
      <c r="DX71" s="131"/>
      <c r="DY71" s="131"/>
      <c r="DZ71" s="131"/>
      <c r="EA71" s="131"/>
      <c r="EB71" s="131"/>
      <c r="EC71" s="131"/>
      <c r="ED71" s="131"/>
      <c r="EE71" s="131"/>
      <c r="EF71" s="131"/>
      <c r="EG71" s="131"/>
      <c r="EH71" s="131"/>
      <c r="EI71" s="131"/>
      <c r="EJ71" s="131"/>
      <c r="EK71" s="131"/>
      <c r="EL71" s="131"/>
      <c r="EM71" s="131"/>
      <c r="EN71" s="131"/>
      <c r="EO71" s="131"/>
      <c r="EP71" s="131"/>
      <c r="EQ71" s="131"/>
      <c r="ER71" s="131"/>
      <c r="ES71" s="131"/>
      <c r="ET71" s="131"/>
      <c r="EU71" s="131"/>
      <c r="EV71" s="131"/>
      <c r="EW71" s="131"/>
      <c r="EX71" s="131"/>
      <c r="EY71" s="131"/>
      <c r="EZ71" s="131"/>
      <c r="FA71" s="131"/>
      <c r="FB71" s="131"/>
      <c r="FC71" s="131"/>
      <c r="FD71" s="131"/>
      <c r="FE71" s="131"/>
      <c r="FF71" s="131"/>
      <c r="FG71" s="131"/>
      <c r="FH71" s="131"/>
      <c r="FI71" s="131"/>
      <c r="FJ71" s="131"/>
      <c r="FK71" s="131"/>
      <c r="FL71" s="131"/>
      <c r="FM71" s="131"/>
      <c r="FN71" s="131"/>
      <c r="FO71" s="131"/>
      <c r="FP71" s="131"/>
      <c r="FQ71" s="131"/>
      <c r="FR71" s="131"/>
      <c r="FS71" s="131"/>
      <c r="FT71" s="131"/>
      <c r="FU71" s="131"/>
      <c r="FV71" s="131"/>
      <c r="FW71" s="131"/>
      <c r="FX71" s="131"/>
      <c r="FY71" s="131"/>
      <c r="FZ71" s="131"/>
      <c r="GA71" s="131"/>
      <c r="GB71" s="131"/>
      <c r="GC71" s="131"/>
      <c r="GD71" s="131"/>
      <c r="GE71" s="131"/>
      <c r="GF71" s="131"/>
      <c r="GG71" s="131"/>
      <c r="GH71" s="131"/>
      <c r="GI71" s="131"/>
      <c r="GJ71" s="131"/>
      <c r="GK71" s="131"/>
      <c r="GL71" s="131"/>
      <c r="GM71" s="131"/>
      <c r="GN71" s="131"/>
      <c r="GO71" s="131"/>
      <c r="GP71" s="131"/>
      <c r="GQ71" s="131"/>
      <c r="GR71" s="131"/>
      <c r="GS71" s="131"/>
      <c r="GT71" s="131"/>
      <c r="GU71" s="131"/>
      <c r="GV71" s="131"/>
      <c r="GW71" s="131"/>
      <c r="GX71" s="131"/>
      <c r="GY71" s="131"/>
      <c r="GZ71" s="131"/>
      <c r="HA71" s="131"/>
      <c r="HB71" s="131"/>
      <c r="HC71" s="131"/>
      <c r="HD71" s="131"/>
      <c r="HE71" s="131"/>
      <c r="HF71" s="131"/>
      <c r="HG71" s="131"/>
      <c r="HH71" s="131"/>
      <c r="HI71" s="131"/>
      <c r="HJ71" s="131"/>
      <c r="HK71" s="131"/>
      <c r="HL71" s="131"/>
      <c r="HM71" s="131"/>
      <c r="HN71" s="131"/>
      <c r="HO71" s="131"/>
      <c r="HP71" s="131"/>
      <c r="HQ71" s="131"/>
      <c r="HR71" s="131"/>
      <c r="HS71" s="131"/>
      <c r="HT71" s="131"/>
      <c r="HU71" s="131"/>
      <c r="HV71" s="131"/>
      <c r="HW71" s="131"/>
      <c r="HX71" s="131"/>
      <c r="HY71" s="131"/>
      <c r="HZ71" s="131"/>
      <c r="IA71" s="131"/>
      <c r="IB71" s="131"/>
      <c r="IC71" s="131"/>
      <c r="ID71" s="131"/>
      <c r="IE71" s="131"/>
      <c r="IF71" s="131"/>
      <c r="IG71" s="131"/>
      <c r="IH71" s="131"/>
      <c r="II71" s="131"/>
      <c r="IJ71" s="131"/>
      <c r="IK71" s="131"/>
      <c r="IL71" s="131"/>
      <c r="IM71" s="131"/>
      <c r="IN71" s="131"/>
      <c r="IO71" s="131"/>
      <c r="IP71" s="131"/>
      <c r="IQ71" s="131"/>
      <c r="IR71" s="131"/>
      <c r="IS71" s="131"/>
      <c r="IT71" s="131"/>
      <c r="IU71" s="131"/>
      <c r="IV71" s="131"/>
      <c r="IW71" s="131"/>
      <c r="IX71" s="131"/>
      <c r="IY71" s="131"/>
      <c r="IZ71" s="131"/>
      <c r="JA71" s="131"/>
      <c r="JB71" s="131"/>
      <c r="JC71" s="131"/>
      <c r="JD71" s="131"/>
      <c r="JE71" s="131"/>
      <c r="JF71" s="131"/>
      <c r="JG71" s="131"/>
      <c r="JH71" s="131"/>
      <c r="JI71" s="131"/>
      <c r="JJ71" s="131"/>
      <c r="JK71" s="131"/>
      <c r="JL71" s="131"/>
      <c r="JM71" s="131"/>
      <c r="JN71" s="131"/>
      <c r="JO71" s="131"/>
      <c r="JP71" s="131"/>
      <c r="JQ71" s="131"/>
      <c r="JR71" s="131"/>
      <c r="JS71" s="131"/>
      <c r="JT71" s="131"/>
      <c r="JU71" s="131"/>
      <c r="JV71" s="131"/>
      <c r="JW71" s="131"/>
      <c r="JX71" s="131"/>
      <c r="JY71" s="131"/>
      <c r="JZ71" s="131"/>
      <c r="KA71" s="131"/>
      <c r="KB71" s="131"/>
      <c r="KC71" s="131"/>
      <c r="KD71" s="131"/>
      <c r="KE71" s="131"/>
      <c r="KF71" s="131"/>
      <c r="KG71" s="131"/>
      <c r="KH71" s="131"/>
      <c r="KI71" s="131"/>
      <c r="KJ71" s="131"/>
      <c r="KK71" s="131"/>
      <c r="KL71" s="131"/>
      <c r="KM71" s="131"/>
      <c r="KN71" s="131"/>
      <c r="KO71" s="131"/>
      <c r="KP71" s="131"/>
      <c r="KQ71" s="131"/>
      <c r="KR71" s="131"/>
      <c r="KS71" s="131"/>
      <c r="KT71" s="131"/>
      <c r="KU71" s="131"/>
      <c r="KV71" s="131"/>
      <c r="KW71" s="131"/>
      <c r="KX71" s="131"/>
      <c r="KY71" s="131"/>
      <c r="KZ71" s="131"/>
      <c r="LA71" s="131"/>
      <c r="LB71" s="131"/>
      <c r="LC71" s="131"/>
      <c r="LD71" s="131"/>
      <c r="LE71" s="131"/>
      <c r="LF71" s="131"/>
      <c r="LG71" s="131"/>
      <c r="LH71" s="131"/>
      <c r="LI71" s="131"/>
      <c r="LJ71" s="131"/>
      <c r="LK71" s="131"/>
      <c r="LL71" s="131"/>
      <c r="LM71" s="131"/>
      <c r="LN71" s="131"/>
      <c r="LO71" s="131"/>
      <c r="LP71" s="131"/>
      <c r="LQ71" s="131"/>
      <c r="LR71" s="131"/>
      <c r="LS71" s="131"/>
      <c r="LT71" s="131"/>
      <c r="LU71" s="131"/>
      <c r="LV71" s="131"/>
      <c r="LW71" s="131"/>
      <c r="LX71" s="131"/>
      <c r="LY71" s="131"/>
      <c r="LZ71" s="131"/>
      <c r="MA71" s="131"/>
      <c r="MB71" s="131"/>
      <c r="MC71" s="131"/>
      <c r="MD71" s="131"/>
      <c r="ME71" s="131"/>
      <c r="MF71" s="131"/>
      <c r="MG71" s="131"/>
      <c r="MH71" s="131"/>
      <c r="MI71" s="131"/>
      <c r="MJ71" s="131"/>
      <c r="MK71" s="131"/>
      <c r="ML71" s="131"/>
      <c r="MM71" s="131"/>
      <c r="MN71" s="131"/>
      <c r="MO71" s="131"/>
      <c r="MP71" s="131"/>
      <c r="MQ71" s="131"/>
      <c r="MR71" s="131"/>
      <c r="MS71" s="131"/>
      <c r="MT71" s="131"/>
      <c r="MU71" s="131"/>
      <c r="MV71" s="131"/>
      <c r="MW71" s="131"/>
      <c r="MX71" s="131"/>
      <c r="MY71" s="131"/>
      <c r="MZ71" s="131"/>
      <c r="NA71" s="131"/>
      <c r="NB71" s="131"/>
      <c r="NC71" s="131"/>
      <c r="ND71" s="131"/>
      <c r="NE71" s="131"/>
      <c r="NF71" s="131"/>
      <c r="NG71" s="131"/>
      <c r="NH71" s="131"/>
      <c r="NI71" s="131"/>
      <c r="NJ71" s="131"/>
      <c r="NK71" s="131"/>
      <c r="NL71" s="131"/>
      <c r="NM71" s="131"/>
      <c r="NN71" s="131"/>
      <c r="NO71" s="131"/>
      <c r="NP71" s="131"/>
      <c r="NQ71" s="131"/>
      <c r="NR71" s="131"/>
      <c r="NS71" s="131"/>
      <c r="NT71" s="131"/>
      <c r="NU71" s="131"/>
      <c r="NV71" s="131"/>
      <c r="NW71" s="131"/>
      <c r="NX71" s="131"/>
      <c r="NY71" s="131"/>
      <c r="NZ71" s="131"/>
      <c r="OA71" s="131"/>
      <c r="OB71" s="131"/>
      <c r="OC71" s="131"/>
      <c r="OD71" s="131"/>
      <c r="OE71" s="131"/>
      <c r="OF71" s="131"/>
      <c r="OG71" s="131"/>
      <c r="OH71" s="132"/>
    </row>
    <row r="72" spans="1:398" x14ac:dyDescent="0.35">
      <c r="A72" s="102"/>
      <c r="B72" s="168">
        <f t="shared" si="8"/>
        <v>44</v>
      </c>
      <c r="C72" s="171" t="s">
        <v>903</v>
      </c>
      <c r="D72" s="124" t="s">
        <v>904</v>
      </c>
      <c r="E72" s="124" t="s">
        <v>750</v>
      </c>
      <c r="F72" s="125" t="s">
        <v>906</v>
      </c>
      <c r="G72" s="125" t="s">
        <v>739</v>
      </c>
      <c r="H72" s="125"/>
      <c r="I72" s="129">
        <v>0</v>
      </c>
      <c r="J72" s="129">
        <v>0</v>
      </c>
      <c r="K72" s="129">
        <v>0</v>
      </c>
      <c r="L72" s="129">
        <v>0</v>
      </c>
      <c r="M72" s="129">
        <v>0</v>
      </c>
      <c r="N72" s="129">
        <v>0</v>
      </c>
      <c r="O72" s="130">
        <f t="shared" ref="O72:O77" si="43">SUM(P72,R72)</f>
        <v>0</v>
      </c>
      <c r="P72" s="129">
        <v>0</v>
      </c>
      <c r="Q72" s="129">
        <v>0</v>
      </c>
      <c r="R72" s="129">
        <v>0</v>
      </c>
      <c r="S72" s="129">
        <v>0</v>
      </c>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131"/>
      <c r="BM72" s="131"/>
      <c r="BN72" s="131"/>
      <c r="BO72" s="131"/>
      <c r="BP72" s="131"/>
      <c r="BQ72" s="131"/>
      <c r="BR72" s="131"/>
      <c r="BS72" s="131"/>
      <c r="BT72" s="131"/>
      <c r="BU72" s="131"/>
      <c r="BV72" s="131"/>
      <c r="BW72" s="131"/>
      <c r="BX72" s="131"/>
      <c r="BY72" s="131"/>
      <c r="BZ72" s="131"/>
      <c r="CA72" s="131"/>
      <c r="CB72" s="131"/>
      <c r="CC72" s="131"/>
      <c r="CD72" s="131"/>
      <c r="CE72" s="131"/>
      <c r="CF72" s="131"/>
      <c r="CG72" s="131"/>
      <c r="CH72" s="131"/>
      <c r="CI72" s="131"/>
      <c r="CJ72" s="131"/>
      <c r="CK72" s="131"/>
      <c r="CL72" s="131"/>
      <c r="CM72" s="131"/>
      <c r="CN72" s="131"/>
      <c r="CO72" s="131"/>
      <c r="CP72" s="131"/>
      <c r="CQ72" s="131"/>
      <c r="CR72" s="131"/>
      <c r="CS72" s="131"/>
      <c r="CT72" s="131"/>
      <c r="CU72" s="131"/>
      <c r="CV72" s="131"/>
      <c r="CW72" s="131"/>
      <c r="CX72" s="131"/>
      <c r="CY72" s="131"/>
      <c r="CZ72" s="131"/>
      <c r="DA72" s="131"/>
      <c r="DB72" s="131"/>
      <c r="DC72" s="131"/>
      <c r="DD72" s="131"/>
      <c r="DE72" s="131"/>
      <c r="DF72" s="131"/>
      <c r="DG72" s="131"/>
      <c r="DH72" s="131"/>
      <c r="DI72" s="131"/>
      <c r="DJ72" s="131"/>
      <c r="DK72" s="131"/>
      <c r="DL72" s="131"/>
      <c r="DM72" s="131"/>
      <c r="DN72" s="131"/>
      <c r="DO72" s="131"/>
      <c r="DP72" s="131"/>
      <c r="DQ72" s="131"/>
      <c r="DR72" s="131"/>
      <c r="DS72" s="131"/>
      <c r="DT72" s="131"/>
      <c r="DU72" s="131"/>
      <c r="DV72" s="131"/>
      <c r="DW72" s="131"/>
      <c r="DX72" s="131"/>
      <c r="DY72" s="131"/>
      <c r="DZ72" s="131"/>
      <c r="EA72" s="131"/>
      <c r="EB72" s="131"/>
      <c r="EC72" s="131"/>
      <c r="ED72" s="131"/>
      <c r="EE72" s="131"/>
      <c r="EF72" s="131"/>
      <c r="EG72" s="131"/>
      <c r="EH72" s="131"/>
      <c r="EI72" s="131"/>
      <c r="EJ72" s="131"/>
      <c r="EK72" s="131"/>
      <c r="EL72" s="131"/>
      <c r="EM72" s="131"/>
      <c r="EN72" s="131"/>
      <c r="EO72" s="131"/>
      <c r="EP72" s="131"/>
      <c r="EQ72" s="131"/>
      <c r="ER72" s="131"/>
      <c r="ES72" s="131"/>
      <c r="ET72" s="131"/>
      <c r="EU72" s="131"/>
      <c r="EV72" s="131"/>
      <c r="EW72" s="131"/>
      <c r="EX72" s="131"/>
      <c r="EY72" s="131"/>
      <c r="EZ72" s="131"/>
      <c r="FA72" s="131"/>
      <c r="FB72" s="131"/>
      <c r="FC72" s="131"/>
      <c r="FD72" s="131"/>
      <c r="FE72" s="131"/>
      <c r="FF72" s="131"/>
      <c r="FG72" s="131"/>
      <c r="FH72" s="131"/>
      <c r="FI72" s="131"/>
      <c r="FJ72" s="131"/>
      <c r="FK72" s="131"/>
      <c r="FL72" s="131"/>
      <c r="FM72" s="131"/>
      <c r="FN72" s="131"/>
      <c r="FO72" s="131"/>
      <c r="FP72" s="131"/>
      <c r="FQ72" s="131"/>
      <c r="FR72" s="131"/>
      <c r="FS72" s="131"/>
      <c r="FT72" s="131"/>
      <c r="FU72" s="131"/>
      <c r="FV72" s="131"/>
      <c r="FW72" s="131"/>
      <c r="FX72" s="131"/>
      <c r="FY72" s="131"/>
      <c r="FZ72" s="131"/>
      <c r="GA72" s="131"/>
      <c r="GB72" s="131"/>
      <c r="GC72" s="131"/>
      <c r="GD72" s="131"/>
      <c r="GE72" s="131"/>
      <c r="GF72" s="131"/>
      <c r="GG72" s="131"/>
      <c r="GH72" s="131"/>
      <c r="GI72" s="131"/>
      <c r="GJ72" s="131"/>
      <c r="GK72" s="131"/>
      <c r="GL72" s="131"/>
      <c r="GM72" s="131"/>
      <c r="GN72" s="131"/>
      <c r="GO72" s="131"/>
      <c r="GP72" s="131"/>
      <c r="GQ72" s="131"/>
      <c r="GR72" s="131"/>
      <c r="GS72" s="131"/>
      <c r="GT72" s="131"/>
      <c r="GU72" s="131"/>
      <c r="GV72" s="131"/>
      <c r="GW72" s="131"/>
      <c r="GX72" s="131"/>
      <c r="GY72" s="131"/>
      <c r="GZ72" s="131"/>
      <c r="HA72" s="131"/>
      <c r="HB72" s="131"/>
      <c r="HC72" s="131"/>
      <c r="HD72" s="131"/>
      <c r="HE72" s="131"/>
      <c r="HF72" s="131"/>
      <c r="HG72" s="131"/>
      <c r="HH72" s="131"/>
      <c r="HI72" s="131"/>
      <c r="HJ72" s="131"/>
      <c r="HK72" s="131"/>
      <c r="HL72" s="131"/>
      <c r="HM72" s="131"/>
      <c r="HN72" s="131"/>
      <c r="HO72" s="131"/>
      <c r="HP72" s="131"/>
      <c r="HQ72" s="131"/>
      <c r="HR72" s="131"/>
      <c r="HS72" s="131"/>
      <c r="HT72" s="131"/>
      <c r="HU72" s="131"/>
      <c r="HV72" s="131"/>
      <c r="HW72" s="131"/>
      <c r="HX72" s="131"/>
      <c r="HY72" s="131"/>
      <c r="HZ72" s="131"/>
      <c r="IA72" s="131"/>
      <c r="IB72" s="131"/>
      <c r="IC72" s="131"/>
      <c r="ID72" s="131"/>
      <c r="IE72" s="131"/>
      <c r="IF72" s="131"/>
      <c r="IG72" s="131"/>
      <c r="IH72" s="131"/>
      <c r="II72" s="131"/>
      <c r="IJ72" s="131"/>
      <c r="IK72" s="131"/>
      <c r="IL72" s="131"/>
      <c r="IM72" s="131"/>
      <c r="IN72" s="131"/>
      <c r="IO72" s="131"/>
      <c r="IP72" s="131"/>
      <c r="IQ72" s="131"/>
      <c r="IR72" s="131"/>
      <c r="IS72" s="131"/>
      <c r="IT72" s="131"/>
      <c r="IU72" s="131"/>
      <c r="IV72" s="131"/>
      <c r="IW72" s="131"/>
      <c r="IX72" s="131"/>
      <c r="IY72" s="131"/>
      <c r="IZ72" s="131"/>
      <c r="JA72" s="131"/>
      <c r="JB72" s="131"/>
      <c r="JC72" s="131"/>
      <c r="JD72" s="131"/>
      <c r="JE72" s="131"/>
      <c r="JF72" s="131"/>
      <c r="JG72" s="131"/>
      <c r="JH72" s="131"/>
      <c r="JI72" s="131"/>
      <c r="JJ72" s="131"/>
      <c r="JK72" s="131"/>
      <c r="JL72" s="131"/>
      <c r="JM72" s="131"/>
      <c r="JN72" s="131"/>
      <c r="JO72" s="131"/>
      <c r="JP72" s="131"/>
      <c r="JQ72" s="131"/>
      <c r="JR72" s="131"/>
      <c r="JS72" s="131"/>
      <c r="JT72" s="131"/>
      <c r="JU72" s="131"/>
      <c r="JV72" s="131"/>
      <c r="JW72" s="131"/>
      <c r="JX72" s="131"/>
      <c r="JY72" s="131"/>
      <c r="JZ72" s="131"/>
      <c r="KA72" s="131"/>
      <c r="KB72" s="131"/>
      <c r="KC72" s="131"/>
      <c r="KD72" s="131"/>
      <c r="KE72" s="131"/>
      <c r="KF72" s="131"/>
      <c r="KG72" s="131"/>
      <c r="KH72" s="131"/>
      <c r="KI72" s="131"/>
      <c r="KJ72" s="131"/>
      <c r="KK72" s="131"/>
      <c r="KL72" s="131"/>
      <c r="KM72" s="131"/>
      <c r="KN72" s="131"/>
      <c r="KO72" s="131"/>
      <c r="KP72" s="131"/>
      <c r="KQ72" s="131"/>
      <c r="KR72" s="131"/>
      <c r="KS72" s="131"/>
      <c r="KT72" s="131"/>
      <c r="KU72" s="131"/>
      <c r="KV72" s="131"/>
      <c r="KW72" s="131"/>
      <c r="KX72" s="131"/>
      <c r="KY72" s="131"/>
      <c r="KZ72" s="131"/>
      <c r="LA72" s="131"/>
      <c r="LB72" s="131"/>
      <c r="LC72" s="131"/>
      <c r="LD72" s="131"/>
      <c r="LE72" s="131"/>
      <c r="LF72" s="131"/>
      <c r="LG72" s="131"/>
      <c r="LH72" s="131"/>
      <c r="LI72" s="131"/>
      <c r="LJ72" s="131"/>
      <c r="LK72" s="131"/>
      <c r="LL72" s="131"/>
      <c r="LM72" s="131"/>
      <c r="LN72" s="131"/>
      <c r="LO72" s="131"/>
      <c r="LP72" s="131"/>
      <c r="LQ72" s="131"/>
      <c r="LR72" s="131"/>
      <c r="LS72" s="131"/>
      <c r="LT72" s="131"/>
      <c r="LU72" s="131"/>
      <c r="LV72" s="131"/>
      <c r="LW72" s="131"/>
      <c r="LX72" s="131"/>
      <c r="LY72" s="131"/>
      <c r="LZ72" s="131"/>
      <c r="MA72" s="131"/>
      <c r="MB72" s="131"/>
      <c r="MC72" s="131"/>
      <c r="MD72" s="131"/>
      <c r="ME72" s="131"/>
      <c r="MF72" s="131"/>
      <c r="MG72" s="131"/>
      <c r="MH72" s="131"/>
      <c r="MI72" s="131"/>
      <c r="MJ72" s="131"/>
      <c r="MK72" s="131"/>
      <c r="ML72" s="131"/>
      <c r="MM72" s="131"/>
      <c r="MN72" s="131"/>
      <c r="MO72" s="131"/>
      <c r="MP72" s="131"/>
      <c r="MQ72" s="131"/>
      <c r="MR72" s="131"/>
      <c r="MS72" s="131"/>
      <c r="MT72" s="131"/>
      <c r="MU72" s="131"/>
      <c r="MV72" s="131"/>
      <c r="MW72" s="131"/>
      <c r="MX72" s="131"/>
      <c r="MY72" s="131"/>
      <c r="MZ72" s="131"/>
      <c r="NA72" s="131"/>
      <c r="NB72" s="131"/>
      <c r="NC72" s="131"/>
      <c r="ND72" s="131"/>
      <c r="NE72" s="131"/>
      <c r="NF72" s="131"/>
      <c r="NG72" s="131"/>
      <c r="NH72" s="131"/>
      <c r="NI72" s="131"/>
      <c r="NJ72" s="131"/>
      <c r="NK72" s="131"/>
      <c r="NL72" s="131"/>
      <c r="NM72" s="131"/>
      <c r="NN72" s="131"/>
      <c r="NO72" s="131"/>
      <c r="NP72" s="131"/>
      <c r="NQ72" s="131"/>
      <c r="NR72" s="131"/>
      <c r="NS72" s="131"/>
      <c r="NT72" s="131"/>
      <c r="NU72" s="131"/>
      <c r="NV72" s="131"/>
      <c r="NW72" s="131"/>
      <c r="NX72" s="131"/>
      <c r="NY72" s="131"/>
      <c r="NZ72" s="131"/>
      <c r="OA72" s="131"/>
      <c r="OB72" s="131"/>
      <c r="OC72" s="131"/>
      <c r="OD72" s="131"/>
      <c r="OE72" s="131"/>
      <c r="OF72" s="131"/>
      <c r="OG72" s="131"/>
      <c r="OH72" s="132"/>
    </row>
    <row r="73" spans="1:398" x14ac:dyDescent="0.35">
      <c r="A73" s="102"/>
      <c r="B73" s="168">
        <f t="shared" si="8"/>
        <v>45</v>
      </c>
      <c r="C73" s="171" t="s">
        <v>903</v>
      </c>
      <c r="D73" s="124" t="s">
        <v>904</v>
      </c>
      <c r="E73" s="124" t="s">
        <v>750</v>
      </c>
      <c r="F73" s="125" t="s">
        <v>906</v>
      </c>
      <c r="G73" s="125" t="s">
        <v>740</v>
      </c>
      <c r="H73" s="125"/>
      <c r="I73" s="129">
        <v>0</v>
      </c>
      <c r="J73" s="129">
        <v>0</v>
      </c>
      <c r="K73" s="129">
        <v>0</v>
      </c>
      <c r="L73" s="129">
        <v>0</v>
      </c>
      <c r="M73" s="129">
        <v>0</v>
      </c>
      <c r="N73" s="129">
        <v>0</v>
      </c>
      <c r="O73" s="130">
        <f t="shared" si="43"/>
        <v>0</v>
      </c>
      <c r="P73" s="129">
        <v>0</v>
      </c>
      <c r="Q73" s="129">
        <v>0</v>
      </c>
      <c r="R73" s="129">
        <v>0</v>
      </c>
      <c r="S73" s="129">
        <v>0</v>
      </c>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1"/>
      <c r="BF73" s="131"/>
      <c r="BG73" s="131"/>
      <c r="BH73" s="131"/>
      <c r="BI73" s="131"/>
      <c r="BJ73" s="131"/>
      <c r="BK73" s="131"/>
      <c r="BL73" s="131"/>
      <c r="BM73" s="131"/>
      <c r="BN73" s="131"/>
      <c r="BO73" s="131"/>
      <c r="BP73" s="131"/>
      <c r="BQ73" s="131"/>
      <c r="BR73" s="131"/>
      <c r="BS73" s="131"/>
      <c r="BT73" s="131"/>
      <c r="BU73" s="131"/>
      <c r="BV73" s="131"/>
      <c r="BW73" s="131"/>
      <c r="BX73" s="131"/>
      <c r="BY73" s="131"/>
      <c r="BZ73" s="131"/>
      <c r="CA73" s="131"/>
      <c r="CB73" s="131"/>
      <c r="CC73" s="131"/>
      <c r="CD73" s="131"/>
      <c r="CE73" s="131"/>
      <c r="CF73" s="131"/>
      <c r="CG73" s="131"/>
      <c r="CH73" s="131"/>
      <c r="CI73" s="131"/>
      <c r="CJ73" s="131"/>
      <c r="CK73" s="131"/>
      <c r="CL73" s="131"/>
      <c r="CM73" s="131"/>
      <c r="CN73" s="131"/>
      <c r="CO73" s="131"/>
      <c r="CP73" s="131"/>
      <c r="CQ73" s="131"/>
      <c r="CR73" s="131"/>
      <c r="CS73" s="131"/>
      <c r="CT73" s="131"/>
      <c r="CU73" s="131"/>
      <c r="CV73" s="131"/>
      <c r="CW73" s="131"/>
      <c r="CX73" s="131"/>
      <c r="CY73" s="131"/>
      <c r="CZ73" s="131"/>
      <c r="DA73" s="131"/>
      <c r="DB73" s="131"/>
      <c r="DC73" s="131"/>
      <c r="DD73" s="131"/>
      <c r="DE73" s="131"/>
      <c r="DF73" s="131"/>
      <c r="DG73" s="131"/>
      <c r="DH73" s="131"/>
      <c r="DI73" s="131"/>
      <c r="DJ73" s="131"/>
      <c r="DK73" s="131"/>
      <c r="DL73" s="131"/>
      <c r="DM73" s="131"/>
      <c r="DN73" s="131"/>
      <c r="DO73" s="131"/>
      <c r="DP73" s="131"/>
      <c r="DQ73" s="131"/>
      <c r="DR73" s="131"/>
      <c r="DS73" s="131"/>
      <c r="DT73" s="131"/>
      <c r="DU73" s="131"/>
      <c r="DV73" s="131"/>
      <c r="DW73" s="131"/>
      <c r="DX73" s="131"/>
      <c r="DY73" s="131"/>
      <c r="DZ73" s="131"/>
      <c r="EA73" s="131"/>
      <c r="EB73" s="131"/>
      <c r="EC73" s="131"/>
      <c r="ED73" s="131"/>
      <c r="EE73" s="131"/>
      <c r="EF73" s="131"/>
      <c r="EG73" s="131"/>
      <c r="EH73" s="131"/>
      <c r="EI73" s="131"/>
      <c r="EJ73" s="131"/>
      <c r="EK73" s="131"/>
      <c r="EL73" s="131"/>
      <c r="EM73" s="131"/>
      <c r="EN73" s="131"/>
      <c r="EO73" s="131"/>
      <c r="EP73" s="131"/>
      <c r="EQ73" s="131"/>
      <c r="ER73" s="131"/>
      <c r="ES73" s="131"/>
      <c r="ET73" s="131"/>
      <c r="EU73" s="131"/>
      <c r="EV73" s="131"/>
      <c r="EW73" s="131"/>
      <c r="EX73" s="131"/>
      <c r="EY73" s="131"/>
      <c r="EZ73" s="131"/>
      <c r="FA73" s="131"/>
      <c r="FB73" s="131"/>
      <c r="FC73" s="131"/>
      <c r="FD73" s="131"/>
      <c r="FE73" s="131"/>
      <c r="FF73" s="131"/>
      <c r="FG73" s="131"/>
      <c r="FH73" s="131"/>
      <c r="FI73" s="131"/>
      <c r="FJ73" s="131"/>
      <c r="FK73" s="131"/>
      <c r="FL73" s="131"/>
      <c r="FM73" s="131"/>
      <c r="FN73" s="131"/>
      <c r="FO73" s="131"/>
      <c r="FP73" s="131"/>
      <c r="FQ73" s="131"/>
      <c r="FR73" s="131"/>
      <c r="FS73" s="131"/>
      <c r="FT73" s="131"/>
      <c r="FU73" s="131"/>
      <c r="FV73" s="131"/>
      <c r="FW73" s="131"/>
      <c r="FX73" s="131"/>
      <c r="FY73" s="131"/>
      <c r="FZ73" s="131"/>
      <c r="GA73" s="131"/>
      <c r="GB73" s="131"/>
      <c r="GC73" s="131"/>
      <c r="GD73" s="131"/>
      <c r="GE73" s="131"/>
      <c r="GF73" s="131"/>
      <c r="GG73" s="131"/>
      <c r="GH73" s="131"/>
      <c r="GI73" s="131"/>
      <c r="GJ73" s="131"/>
      <c r="GK73" s="131"/>
      <c r="GL73" s="131"/>
      <c r="GM73" s="131"/>
      <c r="GN73" s="131"/>
      <c r="GO73" s="131"/>
      <c r="GP73" s="131"/>
      <c r="GQ73" s="131"/>
      <c r="GR73" s="131"/>
      <c r="GS73" s="131"/>
      <c r="GT73" s="131"/>
      <c r="GU73" s="131"/>
      <c r="GV73" s="131"/>
      <c r="GW73" s="131"/>
      <c r="GX73" s="131"/>
      <c r="GY73" s="131"/>
      <c r="GZ73" s="131"/>
      <c r="HA73" s="131"/>
      <c r="HB73" s="131"/>
      <c r="HC73" s="131"/>
      <c r="HD73" s="131"/>
      <c r="HE73" s="131"/>
      <c r="HF73" s="131"/>
      <c r="HG73" s="131"/>
      <c r="HH73" s="131"/>
      <c r="HI73" s="131"/>
      <c r="HJ73" s="131"/>
      <c r="HK73" s="131"/>
      <c r="HL73" s="131"/>
      <c r="HM73" s="131"/>
      <c r="HN73" s="131"/>
      <c r="HO73" s="131"/>
      <c r="HP73" s="131"/>
      <c r="HQ73" s="131"/>
      <c r="HR73" s="131"/>
      <c r="HS73" s="131"/>
      <c r="HT73" s="131"/>
      <c r="HU73" s="131"/>
      <c r="HV73" s="131"/>
      <c r="HW73" s="131"/>
      <c r="HX73" s="131"/>
      <c r="HY73" s="131"/>
      <c r="HZ73" s="131"/>
      <c r="IA73" s="131"/>
      <c r="IB73" s="131"/>
      <c r="IC73" s="131"/>
      <c r="ID73" s="131"/>
      <c r="IE73" s="131"/>
      <c r="IF73" s="131"/>
      <c r="IG73" s="131"/>
      <c r="IH73" s="131"/>
      <c r="II73" s="131"/>
      <c r="IJ73" s="131"/>
      <c r="IK73" s="131"/>
      <c r="IL73" s="131"/>
      <c r="IM73" s="131"/>
      <c r="IN73" s="131"/>
      <c r="IO73" s="131"/>
      <c r="IP73" s="131"/>
      <c r="IQ73" s="131"/>
      <c r="IR73" s="131"/>
      <c r="IS73" s="131"/>
      <c r="IT73" s="131"/>
      <c r="IU73" s="131"/>
      <c r="IV73" s="131"/>
      <c r="IW73" s="131"/>
      <c r="IX73" s="131"/>
      <c r="IY73" s="131"/>
      <c r="IZ73" s="131"/>
      <c r="JA73" s="131"/>
      <c r="JB73" s="131"/>
      <c r="JC73" s="131"/>
      <c r="JD73" s="131"/>
      <c r="JE73" s="131"/>
      <c r="JF73" s="131"/>
      <c r="JG73" s="131"/>
      <c r="JH73" s="131"/>
      <c r="JI73" s="131"/>
      <c r="JJ73" s="131"/>
      <c r="JK73" s="131"/>
      <c r="JL73" s="131"/>
      <c r="JM73" s="131"/>
      <c r="JN73" s="131"/>
      <c r="JO73" s="131"/>
      <c r="JP73" s="131"/>
      <c r="JQ73" s="131"/>
      <c r="JR73" s="131"/>
      <c r="JS73" s="131"/>
      <c r="JT73" s="131"/>
      <c r="JU73" s="131"/>
      <c r="JV73" s="131"/>
      <c r="JW73" s="131"/>
      <c r="JX73" s="131"/>
      <c r="JY73" s="131"/>
      <c r="JZ73" s="131"/>
      <c r="KA73" s="131"/>
      <c r="KB73" s="131"/>
      <c r="KC73" s="131"/>
      <c r="KD73" s="131"/>
      <c r="KE73" s="131"/>
      <c r="KF73" s="131"/>
      <c r="KG73" s="131"/>
      <c r="KH73" s="131"/>
      <c r="KI73" s="131"/>
      <c r="KJ73" s="131"/>
      <c r="KK73" s="131"/>
      <c r="KL73" s="131"/>
      <c r="KM73" s="131"/>
      <c r="KN73" s="131"/>
      <c r="KO73" s="131"/>
      <c r="KP73" s="131"/>
      <c r="KQ73" s="131"/>
      <c r="KR73" s="131"/>
      <c r="KS73" s="131"/>
      <c r="KT73" s="131"/>
      <c r="KU73" s="131"/>
      <c r="KV73" s="131"/>
      <c r="KW73" s="131"/>
      <c r="KX73" s="131"/>
      <c r="KY73" s="131"/>
      <c r="KZ73" s="131"/>
      <c r="LA73" s="131"/>
      <c r="LB73" s="131"/>
      <c r="LC73" s="131"/>
      <c r="LD73" s="131"/>
      <c r="LE73" s="131"/>
      <c r="LF73" s="131"/>
      <c r="LG73" s="131"/>
      <c r="LH73" s="131"/>
      <c r="LI73" s="131"/>
      <c r="LJ73" s="131"/>
      <c r="LK73" s="131"/>
      <c r="LL73" s="131"/>
      <c r="LM73" s="131"/>
      <c r="LN73" s="131"/>
      <c r="LO73" s="131"/>
      <c r="LP73" s="131"/>
      <c r="LQ73" s="131"/>
      <c r="LR73" s="131"/>
      <c r="LS73" s="131"/>
      <c r="LT73" s="131"/>
      <c r="LU73" s="131"/>
      <c r="LV73" s="131"/>
      <c r="LW73" s="131"/>
      <c r="LX73" s="131"/>
      <c r="LY73" s="131"/>
      <c r="LZ73" s="131"/>
      <c r="MA73" s="131"/>
      <c r="MB73" s="131"/>
      <c r="MC73" s="131"/>
      <c r="MD73" s="131"/>
      <c r="ME73" s="131"/>
      <c r="MF73" s="131"/>
      <c r="MG73" s="131"/>
      <c r="MH73" s="131"/>
      <c r="MI73" s="131"/>
      <c r="MJ73" s="131"/>
      <c r="MK73" s="131"/>
      <c r="ML73" s="131"/>
      <c r="MM73" s="131"/>
      <c r="MN73" s="131"/>
      <c r="MO73" s="131"/>
      <c r="MP73" s="131"/>
      <c r="MQ73" s="131"/>
      <c r="MR73" s="131"/>
      <c r="MS73" s="131"/>
      <c r="MT73" s="131"/>
      <c r="MU73" s="131"/>
      <c r="MV73" s="131"/>
      <c r="MW73" s="131"/>
      <c r="MX73" s="131"/>
      <c r="MY73" s="131"/>
      <c r="MZ73" s="131"/>
      <c r="NA73" s="131"/>
      <c r="NB73" s="131"/>
      <c r="NC73" s="131"/>
      <c r="ND73" s="131"/>
      <c r="NE73" s="131"/>
      <c r="NF73" s="131"/>
      <c r="NG73" s="131"/>
      <c r="NH73" s="131"/>
      <c r="NI73" s="131"/>
      <c r="NJ73" s="131"/>
      <c r="NK73" s="131"/>
      <c r="NL73" s="131"/>
      <c r="NM73" s="131"/>
      <c r="NN73" s="131"/>
      <c r="NO73" s="131"/>
      <c r="NP73" s="131"/>
      <c r="NQ73" s="131"/>
      <c r="NR73" s="131"/>
      <c r="NS73" s="131"/>
      <c r="NT73" s="131"/>
      <c r="NU73" s="131"/>
      <c r="NV73" s="131"/>
      <c r="NW73" s="131"/>
      <c r="NX73" s="131"/>
      <c r="NY73" s="131"/>
      <c r="NZ73" s="131"/>
      <c r="OA73" s="131"/>
      <c r="OB73" s="131"/>
      <c r="OC73" s="131"/>
      <c r="OD73" s="131"/>
      <c r="OE73" s="131"/>
      <c r="OF73" s="131"/>
      <c r="OG73" s="131"/>
      <c r="OH73" s="132"/>
    </row>
    <row r="74" spans="1:398" x14ac:dyDescent="0.35">
      <c r="A74" s="102"/>
      <c r="B74" s="168">
        <f t="shared" si="8"/>
        <v>46</v>
      </c>
      <c r="C74" s="171" t="s">
        <v>903</v>
      </c>
      <c r="D74" s="124" t="s">
        <v>904</v>
      </c>
      <c r="E74" s="124" t="s">
        <v>750</v>
      </c>
      <c r="F74" s="125" t="s">
        <v>906</v>
      </c>
      <c r="G74" s="125" t="s">
        <v>741</v>
      </c>
      <c r="H74" s="125"/>
      <c r="I74" s="129">
        <v>0</v>
      </c>
      <c r="J74" s="129">
        <v>0</v>
      </c>
      <c r="K74" s="129">
        <v>0</v>
      </c>
      <c r="L74" s="129">
        <v>0</v>
      </c>
      <c r="M74" s="129">
        <v>0</v>
      </c>
      <c r="N74" s="129">
        <v>0</v>
      </c>
      <c r="O74" s="130">
        <f t="shared" si="43"/>
        <v>0</v>
      </c>
      <c r="P74" s="129">
        <v>0</v>
      </c>
      <c r="Q74" s="129">
        <v>0</v>
      </c>
      <c r="R74" s="129">
        <v>0</v>
      </c>
      <c r="S74" s="129">
        <v>0</v>
      </c>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c r="BP74" s="131"/>
      <c r="BQ74" s="131"/>
      <c r="BR74" s="131"/>
      <c r="BS74" s="131"/>
      <c r="BT74" s="131"/>
      <c r="BU74" s="131"/>
      <c r="BV74" s="131"/>
      <c r="BW74" s="131"/>
      <c r="BX74" s="131"/>
      <c r="BY74" s="131"/>
      <c r="BZ74" s="131"/>
      <c r="CA74" s="131"/>
      <c r="CB74" s="131"/>
      <c r="CC74" s="131"/>
      <c r="CD74" s="131"/>
      <c r="CE74" s="131"/>
      <c r="CF74" s="131"/>
      <c r="CG74" s="131"/>
      <c r="CH74" s="131"/>
      <c r="CI74" s="131"/>
      <c r="CJ74" s="131"/>
      <c r="CK74" s="131"/>
      <c r="CL74" s="131"/>
      <c r="CM74" s="131"/>
      <c r="CN74" s="131"/>
      <c r="CO74" s="131"/>
      <c r="CP74" s="131"/>
      <c r="CQ74" s="131"/>
      <c r="CR74" s="131"/>
      <c r="CS74" s="131"/>
      <c r="CT74" s="131"/>
      <c r="CU74" s="131"/>
      <c r="CV74" s="131"/>
      <c r="CW74" s="131"/>
      <c r="CX74" s="131"/>
      <c r="CY74" s="131"/>
      <c r="CZ74" s="131"/>
      <c r="DA74" s="131"/>
      <c r="DB74" s="131"/>
      <c r="DC74" s="131"/>
      <c r="DD74" s="131"/>
      <c r="DE74" s="131"/>
      <c r="DF74" s="131"/>
      <c r="DG74" s="131"/>
      <c r="DH74" s="131"/>
      <c r="DI74" s="131"/>
      <c r="DJ74" s="131"/>
      <c r="DK74" s="131"/>
      <c r="DL74" s="131"/>
      <c r="DM74" s="131"/>
      <c r="DN74" s="131"/>
      <c r="DO74" s="131"/>
      <c r="DP74" s="131"/>
      <c r="DQ74" s="131"/>
      <c r="DR74" s="131"/>
      <c r="DS74" s="131"/>
      <c r="DT74" s="131"/>
      <c r="DU74" s="131"/>
      <c r="DV74" s="131"/>
      <c r="DW74" s="131"/>
      <c r="DX74" s="131"/>
      <c r="DY74" s="131"/>
      <c r="DZ74" s="131"/>
      <c r="EA74" s="131"/>
      <c r="EB74" s="131"/>
      <c r="EC74" s="131"/>
      <c r="ED74" s="131"/>
      <c r="EE74" s="131"/>
      <c r="EF74" s="131"/>
      <c r="EG74" s="131"/>
      <c r="EH74" s="131"/>
      <c r="EI74" s="131"/>
      <c r="EJ74" s="131"/>
      <c r="EK74" s="131"/>
      <c r="EL74" s="131"/>
      <c r="EM74" s="131"/>
      <c r="EN74" s="131"/>
      <c r="EO74" s="131"/>
      <c r="EP74" s="131"/>
      <c r="EQ74" s="131"/>
      <c r="ER74" s="131"/>
      <c r="ES74" s="131"/>
      <c r="ET74" s="131"/>
      <c r="EU74" s="131"/>
      <c r="EV74" s="131"/>
      <c r="EW74" s="131"/>
      <c r="EX74" s="131"/>
      <c r="EY74" s="131"/>
      <c r="EZ74" s="131"/>
      <c r="FA74" s="131"/>
      <c r="FB74" s="131"/>
      <c r="FC74" s="131"/>
      <c r="FD74" s="131"/>
      <c r="FE74" s="131"/>
      <c r="FF74" s="131"/>
      <c r="FG74" s="131"/>
      <c r="FH74" s="131"/>
      <c r="FI74" s="131"/>
      <c r="FJ74" s="131"/>
      <c r="FK74" s="131"/>
      <c r="FL74" s="131"/>
      <c r="FM74" s="131"/>
      <c r="FN74" s="131"/>
      <c r="FO74" s="131"/>
      <c r="FP74" s="131"/>
      <c r="FQ74" s="131"/>
      <c r="FR74" s="131"/>
      <c r="FS74" s="131"/>
      <c r="FT74" s="131"/>
      <c r="FU74" s="131"/>
      <c r="FV74" s="131"/>
      <c r="FW74" s="131"/>
      <c r="FX74" s="131"/>
      <c r="FY74" s="131"/>
      <c r="FZ74" s="131"/>
      <c r="GA74" s="131"/>
      <c r="GB74" s="131"/>
      <c r="GC74" s="131"/>
      <c r="GD74" s="131"/>
      <c r="GE74" s="131"/>
      <c r="GF74" s="131"/>
      <c r="GG74" s="131"/>
      <c r="GH74" s="131"/>
      <c r="GI74" s="131"/>
      <c r="GJ74" s="131"/>
      <c r="GK74" s="131"/>
      <c r="GL74" s="131"/>
      <c r="GM74" s="131"/>
      <c r="GN74" s="131"/>
      <c r="GO74" s="131"/>
      <c r="GP74" s="131"/>
      <c r="GQ74" s="131"/>
      <c r="GR74" s="131"/>
      <c r="GS74" s="131"/>
      <c r="GT74" s="131"/>
      <c r="GU74" s="131"/>
      <c r="GV74" s="131"/>
      <c r="GW74" s="131"/>
      <c r="GX74" s="131"/>
      <c r="GY74" s="131"/>
      <c r="GZ74" s="131"/>
      <c r="HA74" s="131"/>
      <c r="HB74" s="131"/>
      <c r="HC74" s="131"/>
      <c r="HD74" s="131"/>
      <c r="HE74" s="131"/>
      <c r="HF74" s="131"/>
      <c r="HG74" s="131"/>
      <c r="HH74" s="131"/>
      <c r="HI74" s="131"/>
      <c r="HJ74" s="131"/>
      <c r="HK74" s="131"/>
      <c r="HL74" s="131"/>
      <c r="HM74" s="131"/>
      <c r="HN74" s="131"/>
      <c r="HO74" s="131"/>
      <c r="HP74" s="131"/>
      <c r="HQ74" s="131"/>
      <c r="HR74" s="131"/>
      <c r="HS74" s="131"/>
      <c r="HT74" s="131"/>
      <c r="HU74" s="131"/>
      <c r="HV74" s="131"/>
      <c r="HW74" s="131"/>
      <c r="HX74" s="131"/>
      <c r="HY74" s="131"/>
      <c r="HZ74" s="131"/>
      <c r="IA74" s="131"/>
      <c r="IB74" s="131"/>
      <c r="IC74" s="131"/>
      <c r="ID74" s="131"/>
      <c r="IE74" s="131"/>
      <c r="IF74" s="131"/>
      <c r="IG74" s="131"/>
      <c r="IH74" s="131"/>
      <c r="II74" s="131"/>
      <c r="IJ74" s="131"/>
      <c r="IK74" s="131"/>
      <c r="IL74" s="131"/>
      <c r="IM74" s="131"/>
      <c r="IN74" s="131"/>
      <c r="IO74" s="131"/>
      <c r="IP74" s="131"/>
      <c r="IQ74" s="131"/>
      <c r="IR74" s="131"/>
      <c r="IS74" s="131"/>
      <c r="IT74" s="131"/>
      <c r="IU74" s="131"/>
      <c r="IV74" s="131"/>
      <c r="IW74" s="131"/>
      <c r="IX74" s="131"/>
      <c r="IY74" s="131"/>
      <c r="IZ74" s="131"/>
      <c r="JA74" s="131"/>
      <c r="JB74" s="131"/>
      <c r="JC74" s="131"/>
      <c r="JD74" s="131"/>
      <c r="JE74" s="131"/>
      <c r="JF74" s="131"/>
      <c r="JG74" s="131"/>
      <c r="JH74" s="131"/>
      <c r="JI74" s="131"/>
      <c r="JJ74" s="131"/>
      <c r="JK74" s="131"/>
      <c r="JL74" s="131"/>
      <c r="JM74" s="131"/>
      <c r="JN74" s="131"/>
      <c r="JO74" s="131"/>
      <c r="JP74" s="131"/>
      <c r="JQ74" s="131"/>
      <c r="JR74" s="131"/>
      <c r="JS74" s="131"/>
      <c r="JT74" s="131"/>
      <c r="JU74" s="131"/>
      <c r="JV74" s="131"/>
      <c r="JW74" s="131"/>
      <c r="JX74" s="131"/>
      <c r="JY74" s="131"/>
      <c r="JZ74" s="131"/>
      <c r="KA74" s="131"/>
      <c r="KB74" s="131"/>
      <c r="KC74" s="131"/>
      <c r="KD74" s="131"/>
      <c r="KE74" s="131"/>
      <c r="KF74" s="131"/>
      <c r="KG74" s="131"/>
      <c r="KH74" s="131"/>
      <c r="KI74" s="131"/>
      <c r="KJ74" s="131"/>
      <c r="KK74" s="131"/>
      <c r="KL74" s="131"/>
      <c r="KM74" s="131"/>
      <c r="KN74" s="131"/>
      <c r="KO74" s="131"/>
      <c r="KP74" s="131"/>
      <c r="KQ74" s="131"/>
      <c r="KR74" s="131"/>
      <c r="KS74" s="131"/>
      <c r="KT74" s="131"/>
      <c r="KU74" s="131"/>
      <c r="KV74" s="131"/>
      <c r="KW74" s="131"/>
      <c r="KX74" s="131"/>
      <c r="KY74" s="131"/>
      <c r="KZ74" s="131"/>
      <c r="LA74" s="131"/>
      <c r="LB74" s="131"/>
      <c r="LC74" s="131"/>
      <c r="LD74" s="131"/>
      <c r="LE74" s="131"/>
      <c r="LF74" s="131"/>
      <c r="LG74" s="131"/>
      <c r="LH74" s="131"/>
      <c r="LI74" s="131"/>
      <c r="LJ74" s="131"/>
      <c r="LK74" s="131"/>
      <c r="LL74" s="131"/>
      <c r="LM74" s="131"/>
      <c r="LN74" s="131"/>
      <c r="LO74" s="131"/>
      <c r="LP74" s="131"/>
      <c r="LQ74" s="131"/>
      <c r="LR74" s="131"/>
      <c r="LS74" s="131"/>
      <c r="LT74" s="131"/>
      <c r="LU74" s="131"/>
      <c r="LV74" s="131"/>
      <c r="LW74" s="131"/>
      <c r="LX74" s="131"/>
      <c r="LY74" s="131"/>
      <c r="LZ74" s="131"/>
      <c r="MA74" s="131"/>
      <c r="MB74" s="131"/>
      <c r="MC74" s="131"/>
      <c r="MD74" s="131"/>
      <c r="ME74" s="131"/>
      <c r="MF74" s="131"/>
      <c r="MG74" s="131"/>
      <c r="MH74" s="131"/>
      <c r="MI74" s="131"/>
      <c r="MJ74" s="131"/>
      <c r="MK74" s="131"/>
      <c r="ML74" s="131"/>
      <c r="MM74" s="131"/>
      <c r="MN74" s="131"/>
      <c r="MO74" s="131"/>
      <c r="MP74" s="131"/>
      <c r="MQ74" s="131"/>
      <c r="MR74" s="131"/>
      <c r="MS74" s="131"/>
      <c r="MT74" s="131"/>
      <c r="MU74" s="131"/>
      <c r="MV74" s="131"/>
      <c r="MW74" s="131"/>
      <c r="MX74" s="131"/>
      <c r="MY74" s="131"/>
      <c r="MZ74" s="131"/>
      <c r="NA74" s="131"/>
      <c r="NB74" s="131"/>
      <c r="NC74" s="131"/>
      <c r="ND74" s="131"/>
      <c r="NE74" s="131"/>
      <c r="NF74" s="131"/>
      <c r="NG74" s="131"/>
      <c r="NH74" s="131"/>
      <c r="NI74" s="131"/>
      <c r="NJ74" s="131"/>
      <c r="NK74" s="131"/>
      <c r="NL74" s="131"/>
      <c r="NM74" s="131"/>
      <c r="NN74" s="131"/>
      <c r="NO74" s="131"/>
      <c r="NP74" s="131"/>
      <c r="NQ74" s="131"/>
      <c r="NR74" s="131"/>
      <c r="NS74" s="131"/>
      <c r="NT74" s="131"/>
      <c r="NU74" s="131"/>
      <c r="NV74" s="131"/>
      <c r="NW74" s="131"/>
      <c r="NX74" s="131"/>
      <c r="NY74" s="131"/>
      <c r="NZ74" s="131"/>
      <c r="OA74" s="131"/>
      <c r="OB74" s="131"/>
      <c r="OC74" s="131"/>
      <c r="OD74" s="131"/>
      <c r="OE74" s="131"/>
      <c r="OF74" s="131"/>
      <c r="OG74" s="131"/>
      <c r="OH74" s="132"/>
    </row>
    <row r="75" spans="1:398" x14ac:dyDescent="0.35">
      <c r="A75" s="102"/>
      <c r="B75" s="168">
        <f t="shared" si="8"/>
        <v>47</v>
      </c>
      <c r="C75" s="171" t="s">
        <v>903</v>
      </c>
      <c r="D75" s="124" t="s">
        <v>904</v>
      </c>
      <c r="E75" s="124" t="s">
        <v>750</v>
      </c>
      <c r="F75" s="125" t="s">
        <v>906</v>
      </c>
      <c r="G75" s="125" t="s">
        <v>742</v>
      </c>
      <c r="H75" s="125"/>
      <c r="I75" s="129">
        <v>0</v>
      </c>
      <c r="J75" s="129">
        <v>0</v>
      </c>
      <c r="K75" s="129">
        <v>0</v>
      </c>
      <c r="L75" s="129">
        <v>0</v>
      </c>
      <c r="M75" s="129">
        <v>0</v>
      </c>
      <c r="N75" s="129">
        <v>0</v>
      </c>
      <c r="O75" s="130">
        <f t="shared" si="43"/>
        <v>0</v>
      </c>
      <c r="P75" s="129">
        <v>0</v>
      </c>
      <c r="Q75" s="129">
        <v>0</v>
      </c>
      <c r="R75" s="129">
        <v>0</v>
      </c>
      <c r="S75" s="129">
        <v>0</v>
      </c>
      <c r="T75" s="131"/>
      <c r="U75" s="131"/>
      <c r="V75" s="131"/>
      <c r="W75" s="131"/>
      <c r="X75" s="131"/>
      <c r="Y75" s="131"/>
      <c r="Z75" s="131"/>
      <c r="AA75" s="131"/>
      <c r="AB75" s="131"/>
      <c r="AC75" s="131"/>
      <c r="AD75" s="131"/>
      <c r="AE75" s="131"/>
      <c r="AF75" s="131"/>
      <c r="AG75" s="131"/>
      <c r="AH75" s="131"/>
      <c r="AI75" s="131"/>
      <c r="AJ75" s="131"/>
      <c r="AK75" s="131"/>
      <c r="AL75" s="131"/>
      <c r="AM75" s="131"/>
      <c r="AN75" s="131"/>
      <c r="AO75" s="131"/>
      <c r="AP75" s="131"/>
      <c r="AQ75" s="131"/>
      <c r="AR75" s="131"/>
      <c r="AS75" s="131"/>
      <c r="AT75" s="131"/>
      <c r="AU75" s="131"/>
      <c r="AV75" s="131"/>
      <c r="AW75" s="131"/>
      <c r="AX75" s="131"/>
      <c r="AY75" s="131"/>
      <c r="AZ75" s="131"/>
      <c r="BA75" s="131"/>
      <c r="BB75" s="131"/>
      <c r="BC75" s="131"/>
      <c r="BD75" s="131"/>
      <c r="BE75" s="131"/>
      <c r="BF75" s="131"/>
      <c r="BG75" s="131"/>
      <c r="BH75" s="131"/>
      <c r="BI75" s="131"/>
      <c r="BJ75" s="131"/>
      <c r="BK75" s="131"/>
      <c r="BL75" s="131"/>
      <c r="BM75" s="131"/>
      <c r="BN75" s="131"/>
      <c r="BO75" s="131"/>
      <c r="BP75" s="131"/>
      <c r="BQ75" s="131"/>
      <c r="BR75" s="131"/>
      <c r="BS75" s="131"/>
      <c r="BT75" s="131"/>
      <c r="BU75" s="131"/>
      <c r="BV75" s="131"/>
      <c r="BW75" s="131"/>
      <c r="BX75" s="131"/>
      <c r="BY75" s="131"/>
      <c r="BZ75" s="131"/>
      <c r="CA75" s="131"/>
      <c r="CB75" s="131"/>
      <c r="CC75" s="131"/>
      <c r="CD75" s="131"/>
      <c r="CE75" s="131"/>
      <c r="CF75" s="131"/>
      <c r="CG75" s="131"/>
      <c r="CH75" s="131"/>
      <c r="CI75" s="131"/>
      <c r="CJ75" s="131"/>
      <c r="CK75" s="131"/>
      <c r="CL75" s="131"/>
      <c r="CM75" s="131"/>
      <c r="CN75" s="131"/>
      <c r="CO75" s="131"/>
      <c r="CP75" s="131"/>
      <c r="CQ75" s="131"/>
      <c r="CR75" s="131"/>
      <c r="CS75" s="131"/>
      <c r="CT75" s="131"/>
      <c r="CU75" s="131"/>
      <c r="CV75" s="131"/>
      <c r="CW75" s="131"/>
      <c r="CX75" s="131"/>
      <c r="CY75" s="131"/>
      <c r="CZ75" s="131"/>
      <c r="DA75" s="131"/>
      <c r="DB75" s="131"/>
      <c r="DC75" s="131"/>
      <c r="DD75" s="131"/>
      <c r="DE75" s="131"/>
      <c r="DF75" s="131"/>
      <c r="DG75" s="131"/>
      <c r="DH75" s="131"/>
      <c r="DI75" s="131"/>
      <c r="DJ75" s="131"/>
      <c r="DK75" s="131"/>
      <c r="DL75" s="131"/>
      <c r="DM75" s="131"/>
      <c r="DN75" s="131"/>
      <c r="DO75" s="131"/>
      <c r="DP75" s="131"/>
      <c r="DQ75" s="131"/>
      <c r="DR75" s="131"/>
      <c r="DS75" s="131"/>
      <c r="DT75" s="131"/>
      <c r="DU75" s="131"/>
      <c r="DV75" s="131"/>
      <c r="DW75" s="131"/>
      <c r="DX75" s="131"/>
      <c r="DY75" s="131"/>
      <c r="DZ75" s="131"/>
      <c r="EA75" s="131"/>
      <c r="EB75" s="131"/>
      <c r="EC75" s="131"/>
      <c r="ED75" s="131"/>
      <c r="EE75" s="131"/>
      <c r="EF75" s="131"/>
      <c r="EG75" s="131"/>
      <c r="EH75" s="131"/>
      <c r="EI75" s="131"/>
      <c r="EJ75" s="131"/>
      <c r="EK75" s="131"/>
      <c r="EL75" s="131"/>
      <c r="EM75" s="131"/>
      <c r="EN75" s="131"/>
      <c r="EO75" s="131"/>
      <c r="EP75" s="131"/>
      <c r="EQ75" s="131"/>
      <c r="ER75" s="131"/>
      <c r="ES75" s="131"/>
      <c r="ET75" s="131"/>
      <c r="EU75" s="131"/>
      <c r="EV75" s="131"/>
      <c r="EW75" s="131"/>
      <c r="EX75" s="131"/>
      <c r="EY75" s="131"/>
      <c r="EZ75" s="131"/>
      <c r="FA75" s="131"/>
      <c r="FB75" s="131"/>
      <c r="FC75" s="131"/>
      <c r="FD75" s="131"/>
      <c r="FE75" s="131"/>
      <c r="FF75" s="131"/>
      <c r="FG75" s="131"/>
      <c r="FH75" s="131"/>
      <c r="FI75" s="131"/>
      <c r="FJ75" s="131"/>
      <c r="FK75" s="131"/>
      <c r="FL75" s="131"/>
      <c r="FM75" s="131"/>
      <c r="FN75" s="131"/>
      <c r="FO75" s="131"/>
      <c r="FP75" s="131"/>
      <c r="FQ75" s="131"/>
      <c r="FR75" s="131"/>
      <c r="FS75" s="131"/>
      <c r="FT75" s="131"/>
      <c r="FU75" s="131"/>
      <c r="FV75" s="131"/>
      <c r="FW75" s="131"/>
      <c r="FX75" s="131"/>
      <c r="FY75" s="131"/>
      <c r="FZ75" s="131"/>
      <c r="GA75" s="131"/>
      <c r="GB75" s="131"/>
      <c r="GC75" s="131"/>
      <c r="GD75" s="131"/>
      <c r="GE75" s="131"/>
      <c r="GF75" s="131"/>
      <c r="GG75" s="131"/>
      <c r="GH75" s="131"/>
      <c r="GI75" s="131"/>
      <c r="GJ75" s="131"/>
      <c r="GK75" s="131"/>
      <c r="GL75" s="131"/>
      <c r="GM75" s="131"/>
      <c r="GN75" s="131"/>
      <c r="GO75" s="131"/>
      <c r="GP75" s="131"/>
      <c r="GQ75" s="131"/>
      <c r="GR75" s="131"/>
      <c r="GS75" s="131"/>
      <c r="GT75" s="131"/>
      <c r="GU75" s="131"/>
      <c r="GV75" s="131"/>
      <c r="GW75" s="131"/>
      <c r="GX75" s="131"/>
      <c r="GY75" s="131"/>
      <c r="GZ75" s="131"/>
      <c r="HA75" s="131"/>
      <c r="HB75" s="131"/>
      <c r="HC75" s="131"/>
      <c r="HD75" s="131"/>
      <c r="HE75" s="131"/>
      <c r="HF75" s="131"/>
      <c r="HG75" s="131"/>
      <c r="HH75" s="131"/>
      <c r="HI75" s="131"/>
      <c r="HJ75" s="131"/>
      <c r="HK75" s="131"/>
      <c r="HL75" s="131"/>
      <c r="HM75" s="131"/>
      <c r="HN75" s="131"/>
      <c r="HO75" s="131"/>
      <c r="HP75" s="131"/>
      <c r="HQ75" s="131"/>
      <c r="HR75" s="131"/>
      <c r="HS75" s="131"/>
      <c r="HT75" s="131"/>
      <c r="HU75" s="131"/>
      <c r="HV75" s="131"/>
      <c r="HW75" s="131"/>
      <c r="HX75" s="131"/>
      <c r="HY75" s="131"/>
      <c r="HZ75" s="131"/>
      <c r="IA75" s="131"/>
      <c r="IB75" s="131"/>
      <c r="IC75" s="131"/>
      <c r="ID75" s="131"/>
      <c r="IE75" s="131"/>
      <c r="IF75" s="131"/>
      <c r="IG75" s="131"/>
      <c r="IH75" s="131"/>
      <c r="II75" s="131"/>
      <c r="IJ75" s="131"/>
      <c r="IK75" s="131"/>
      <c r="IL75" s="131"/>
      <c r="IM75" s="131"/>
      <c r="IN75" s="131"/>
      <c r="IO75" s="131"/>
      <c r="IP75" s="131"/>
      <c r="IQ75" s="131"/>
      <c r="IR75" s="131"/>
      <c r="IS75" s="131"/>
      <c r="IT75" s="131"/>
      <c r="IU75" s="131"/>
      <c r="IV75" s="131"/>
      <c r="IW75" s="131"/>
      <c r="IX75" s="131"/>
      <c r="IY75" s="131"/>
      <c r="IZ75" s="131"/>
      <c r="JA75" s="131"/>
      <c r="JB75" s="131"/>
      <c r="JC75" s="131"/>
      <c r="JD75" s="131"/>
      <c r="JE75" s="131"/>
      <c r="JF75" s="131"/>
      <c r="JG75" s="131"/>
      <c r="JH75" s="131"/>
      <c r="JI75" s="131"/>
      <c r="JJ75" s="131"/>
      <c r="JK75" s="131"/>
      <c r="JL75" s="131"/>
      <c r="JM75" s="131"/>
      <c r="JN75" s="131"/>
      <c r="JO75" s="131"/>
      <c r="JP75" s="131"/>
      <c r="JQ75" s="131"/>
      <c r="JR75" s="131"/>
      <c r="JS75" s="131"/>
      <c r="JT75" s="131"/>
      <c r="JU75" s="131"/>
      <c r="JV75" s="131"/>
      <c r="JW75" s="131"/>
      <c r="JX75" s="131"/>
      <c r="JY75" s="131"/>
      <c r="JZ75" s="131"/>
      <c r="KA75" s="131"/>
      <c r="KB75" s="131"/>
      <c r="KC75" s="131"/>
      <c r="KD75" s="131"/>
      <c r="KE75" s="131"/>
      <c r="KF75" s="131"/>
      <c r="KG75" s="131"/>
      <c r="KH75" s="131"/>
      <c r="KI75" s="131"/>
      <c r="KJ75" s="131"/>
      <c r="KK75" s="131"/>
      <c r="KL75" s="131"/>
      <c r="KM75" s="131"/>
      <c r="KN75" s="131"/>
      <c r="KO75" s="131"/>
      <c r="KP75" s="131"/>
      <c r="KQ75" s="131"/>
      <c r="KR75" s="131"/>
      <c r="KS75" s="131"/>
      <c r="KT75" s="131"/>
      <c r="KU75" s="131"/>
      <c r="KV75" s="131"/>
      <c r="KW75" s="131"/>
      <c r="KX75" s="131"/>
      <c r="KY75" s="131"/>
      <c r="KZ75" s="131"/>
      <c r="LA75" s="131"/>
      <c r="LB75" s="131"/>
      <c r="LC75" s="131"/>
      <c r="LD75" s="131"/>
      <c r="LE75" s="131"/>
      <c r="LF75" s="131"/>
      <c r="LG75" s="131"/>
      <c r="LH75" s="131"/>
      <c r="LI75" s="131"/>
      <c r="LJ75" s="131"/>
      <c r="LK75" s="131"/>
      <c r="LL75" s="131"/>
      <c r="LM75" s="131"/>
      <c r="LN75" s="131"/>
      <c r="LO75" s="131"/>
      <c r="LP75" s="131"/>
      <c r="LQ75" s="131"/>
      <c r="LR75" s="131"/>
      <c r="LS75" s="131"/>
      <c r="LT75" s="131"/>
      <c r="LU75" s="131"/>
      <c r="LV75" s="131"/>
      <c r="LW75" s="131"/>
      <c r="LX75" s="131"/>
      <c r="LY75" s="131"/>
      <c r="LZ75" s="131"/>
      <c r="MA75" s="131"/>
      <c r="MB75" s="131"/>
      <c r="MC75" s="131"/>
      <c r="MD75" s="131"/>
      <c r="ME75" s="131"/>
      <c r="MF75" s="131"/>
      <c r="MG75" s="131"/>
      <c r="MH75" s="131"/>
      <c r="MI75" s="131"/>
      <c r="MJ75" s="131"/>
      <c r="MK75" s="131"/>
      <c r="ML75" s="131"/>
      <c r="MM75" s="131"/>
      <c r="MN75" s="131"/>
      <c r="MO75" s="131"/>
      <c r="MP75" s="131"/>
      <c r="MQ75" s="131"/>
      <c r="MR75" s="131"/>
      <c r="MS75" s="131"/>
      <c r="MT75" s="131"/>
      <c r="MU75" s="131"/>
      <c r="MV75" s="131"/>
      <c r="MW75" s="131"/>
      <c r="MX75" s="131"/>
      <c r="MY75" s="131"/>
      <c r="MZ75" s="131"/>
      <c r="NA75" s="131"/>
      <c r="NB75" s="131"/>
      <c r="NC75" s="131"/>
      <c r="ND75" s="131"/>
      <c r="NE75" s="131"/>
      <c r="NF75" s="131"/>
      <c r="NG75" s="131"/>
      <c r="NH75" s="131"/>
      <c r="NI75" s="131"/>
      <c r="NJ75" s="131"/>
      <c r="NK75" s="131"/>
      <c r="NL75" s="131"/>
      <c r="NM75" s="131"/>
      <c r="NN75" s="131"/>
      <c r="NO75" s="131"/>
      <c r="NP75" s="131"/>
      <c r="NQ75" s="131"/>
      <c r="NR75" s="131"/>
      <c r="NS75" s="131"/>
      <c r="NT75" s="131"/>
      <c r="NU75" s="131"/>
      <c r="NV75" s="131"/>
      <c r="NW75" s="131"/>
      <c r="NX75" s="131"/>
      <c r="NY75" s="131"/>
      <c r="NZ75" s="131"/>
      <c r="OA75" s="131"/>
      <c r="OB75" s="131"/>
      <c r="OC75" s="131"/>
      <c r="OD75" s="131"/>
      <c r="OE75" s="131"/>
      <c r="OF75" s="131"/>
      <c r="OG75" s="131"/>
      <c r="OH75" s="132"/>
    </row>
    <row r="76" spans="1:398" x14ac:dyDescent="0.35">
      <c r="A76" s="102"/>
      <c r="B76" s="168">
        <f t="shared" si="8"/>
        <v>48</v>
      </c>
      <c r="C76" s="171" t="s">
        <v>903</v>
      </c>
      <c r="D76" s="124" t="s">
        <v>904</v>
      </c>
      <c r="E76" s="124" t="s">
        <v>750</v>
      </c>
      <c r="F76" s="125" t="s">
        <v>906</v>
      </c>
      <c r="G76" s="125" t="s">
        <v>743</v>
      </c>
      <c r="H76" s="125"/>
      <c r="I76" s="129">
        <v>0</v>
      </c>
      <c r="J76" s="129">
        <v>0</v>
      </c>
      <c r="K76" s="129">
        <v>0</v>
      </c>
      <c r="L76" s="129">
        <v>0</v>
      </c>
      <c r="M76" s="129">
        <v>0</v>
      </c>
      <c r="N76" s="129">
        <v>0</v>
      </c>
      <c r="O76" s="130">
        <f t="shared" si="43"/>
        <v>0</v>
      </c>
      <c r="P76" s="129">
        <v>0</v>
      </c>
      <c r="Q76" s="129">
        <v>0</v>
      </c>
      <c r="R76" s="129">
        <v>0</v>
      </c>
      <c r="S76" s="129">
        <v>0</v>
      </c>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c r="CR76" s="131"/>
      <c r="CS76" s="131"/>
      <c r="CT76" s="131"/>
      <c r="CU76" s="131"/>
      <c r="CV76" s="131"/>
      <c r="CW76" s="131"/>
      <c r="CX76" s="131"/>
      <c r="CY76" s="131"/>
      <c r="CZ76" s="131"/>
      <c r="DA76" s="131"/>
      <c r="DB76" s="131"/>
      <c r="DC76" s="131"/>
      <c r="DD76" s="131"/>
      <c r="DE76" s="131"/>
      <c r="DF76" s="131"/>
      <c r="DG76" s="131"/>
      <c r="DH76" s="131"/>
      <c r="DI76" s="131"/>
      <c r="DJ76" s="131"/>
      <c r="DK76" s="131"/>
      <c r="DL76" s="131"/>
      <c r="DM76" s="131"/>
      <c r="DN76" s="131"/>
      <c r="DO76" s="131"/>
      <c r="DP76" s="131"/>
      <c r="DQ76" s="131"/>
      <c r="DR76" s="131"/>
      <c r="DS76" s="131"/>
      <c r="DT76" s="131"/>
      <c r="DU76" s="131"/>
      <c r="DV76" s="131"/>
      <c r="DW76" s="131"/>
      <c r="DX76" s="131"/>
      <c r="DY76" s="131"/>
      <c r="DZ76" s="131"/>
      <c r="EA76" s="131"/>
      <c r="EB76" s="131"/>
      <c r="EC76" s="131"/>
      <c r="ED76" s="131"/>
      <c r="EE76" s="131"/>
      <c r="EF76" s="131"/>
      <c r="EG76" s="131"/>
      <c r="EH76" s="131"/>
      <c r="EI76" s="131"/>
      <c r="EJ76" s="131"/>
      <c r="EK76" s="131"/>
      <c r="EL76" s="131"/>
      <c r="EM76" s="131"/>
      <c r="EN76" s="131"/>
      <c r="EO76" s="131"/>
      <c r="EP76" s="131"/>
      <c r="EQ76" s="131"/>
      <c r="ER76" s="131"/>
      <c r="ES76" s="131"/>
      <c r="ET76" s="131"/>
      <c r="EU76" s="131"/>
      <c r="EV76" s="131"/>
      <c r="EW76" s="131"/>
      <c r="EX76" s="131"/>
      <c r="EY76" s="131"/>
      <c r="EZ76" s="131"/>
      <c r="FA76" s="131"/>
      <c r="FB76" s="131"/>
      <c r="FC76" s="131"/>
      <c r="FD76" s="131"/>
      <c r="FE76" s="131"/>
      <c r="FF76" s="131"/>
      <c r="FG76" s="131"/>
      <c r="FH76" s="131"/>
      <c r="FI76" s="131"/>
      <c r="FJ76" s="131"/>
      <c r="FK76" s="131"/>
      <c r="FL76" s="131"/>
      <c r="FM76" s="131"/>
      <c r="FN76" s="131"/>
      <c r="FO76" s="131"/>
      <c r="FP76" s="131"/>
      <c r="FQ76" s="131"/>
      <c r="FR76" s="131"/>
      <c r="FS76" s="131"/>
      <c r="FT76" s="131"/>
      <c r="FU76" s="131"/>
      <c r="FV76" s="131"/>
      <c r="FW76" s="131"/>
      <c r="FX76" s="131"/>
      <c r="FY76" s="131"/>
      <c r="FZ76" s="131"/>
      <c r="GA76" s="131"/>
      <c r="GB76" s="131"/>
      <c r="GC76" s="131"/>
      <c r="GD76" s="131"/>
      <c r="GE76" s="131"/>
      <c r="GF76" s="131"/>
      <c r="GG76" s="131"/>
      <c r="GH76" s="131"/>
      <c r="GI76" s="131"/>
      <c r="GJ76" s="131"/>
      <c r="GK76" s="131"/>
      <c r="GL76" s="131"/>
      <c r="GM76" s="131"/>
      <c r="GN76" s="131"/>
      <c r="GO76" s="131"/>
      <c r="GP76" s="131"/>
      <c r="GQ76" s="131"/>
      <c r="GR76" s="131"/>
      <c r="GS76" s="131"/>
      <c r="GT76" s="131"/>
      <c r="GU76" s="131"/>
      <c r="GV76" s="131"/>
      <c r="GW76" s="131"/>
      <c r="GX76" s="131"/>
      <c r="GY76" s="131"/>
      <c r="GZ76" s="131"/>
      <c r="HA76" s="131"/>
      <c r="HB76" s="131"/>
      <c r="HC76" s="131"/>
      <c r="HD76" s="131"/>
      <c r="HE76" s="131"/>
      <c r="HF76" s="131"/>
      <c r="HG76" s="131"/>
      <c r="HH76" s="131"/>
      <c r="HI76" s="131"/>
      <c r="HJ76" s="131"/>
      <c r="HK76" s="131"/>
      <c r="HL76" s="131"/>
      <c r="HM76" s="131"/>
      <c r="HN76" s="131"/>
      <c r="HO76" s="131"/>
      <c r="HP76" s="131"/>
      <c r="HQ76" s="131"/>
      <c r="HR76" s="131"/>
      <c r="HS76" s="131"/>
      <c r="HT76" s="131"/>
      <c r="HU76" s="131"/>
      <c r="HV76" s="131"/>
      <c r="HW76" s="131"/>
      <c r="HX76" s="131"/>
      <c r="HY76" s="131"/>
      <c r="HZ76" s="131"/>
      <c r="IA76" s="131"/>
      <c r="IB76" s="131"/>
      <c r="IC76" s="131"/>
      <c r="ID76" s="131"/>
      <c r="IE76" s="131"/>
      <c r="IF76" s="131"/>
      <c r="IG76" s="131"/>
      <c r="IH76" s="131"/>
      <c r="II76" s="131"/>
      <c r="IJ76" s="131"/>
      <c r="IK76" s="131"/>
      <c r="IL76" s="131"/>
      <c r="IM76" s="131"/>
      <c r="IN76" s="131"/>
      <c r="IO76" s="131"/>
      <c r="IP76" s="131"/>
      <c r="IQ76" s="131"/>
      <c r="IR76" s="131"/>
      <c r="IS76" s="131"/>
      <c r="IT76" s="131"/>
      <c r="IU76" s="131"/>
      <c r="IV76" s="131"/>
      <c r="IW76" s="131"/>
      <c r="IX76" s="131"/>
      <c r="IY76" s="131"/>
      <c r="IZ76" s="131"/>
      <c r="JA76" s="131"/>
      <c r="JB76" s="131"/>
      <c r="JC76" s="131"/>
      <c r="JD76" s="131"/>
      <c r="JE76" s="131"/>
      <c r="JF76" s="131"/>
      <c r="JG76" s="131"/>
      <c r="JH76" s="131"/>
      <c r="JI76" s="131"/>
      <c r="JJ76" s="131"/>
      <c r="JK76" s="131"/>
      <c r="JL76" s="131"/>
      <c r="JM76" s="131"/>
      <c r="JN76" s="131"/>
      <c r="JO76" s="131"/>
      <c r="JP76" s="131"/>
      <c r="JQ76" s="131"/>
      <c r="JR76" s="131"/>
      <c r="JS76" s="131"/>
      <c r="JT76" s="131"/>
      <c r="JU76" s="131"/>
      <c r="JV76" s="131"/>
      <c r="JW76" s="131"/>
      <c r="JX76" s="131"/>
      <c r="JY76" s="131"/>
      <c r="JZ76" s="131"/>
      <c r="KA76" s="131"/>
      <c r="KB76" s="131"/>
      <c r="KC76" s="131"/>
      <c r="KD76" s="131"/>
      <c r="KE76" s="131"/>
      <c r="KF76" s="131"/>
      <c r="KG76" s="131"/>
      <c r="KH76" s="131"/>
      <c r="KI76" s="131"/>
      <c r="KJ76" s="131"/>
      <c r="KK76" s="131"/>
      <c r="KL76" s="131"/>
      <c r="KM76" s="131"/>
      <c r="KN76" s="131"/>
      <c r="KO76" s="131"/>
      <c r="KP76" s="131"/>
      <c r="KQ76" s="131"/>
      <c r="KR76" s="131"/>
      <c r="KS76" s="131"/>
      <c r="KT76" s="131"/>
      <c r="KU76" s="131"/>
      <c r="KV76" s="131"/>
      <c r="KW76" s="131"/>
      <c r="KX76" s="131"/>
      <c r="KY76" s="131"/>
      <c r="KZ76" s="131"/>
      <c r="LA76" s="131"/>
      <c r="LB76" s="131"/>
      <c r="LC76" s="131"/>
      <c r="LD76" s="131"/>
      <c r="LE76" s="131"/>
      <c r="LF76" s="131"/>
      <c r="LG76" s="131"/>
      <c r="LH76" s="131"/>
      <c r="LI76" s="131"/>
      <c r="LJ76" s="131"/>
      <c r="LK76" s="131"/>
      <c r="LL76" s="131"/>
      <c r="LM76" s="131"/>
      <c r="LN76" s="131"/>
      <c r="LO76" s="131"/>
      <c r="LP76" s="131"/>
      <c r="LQ76" s="131"/>
      <c r="LR76" s="131"/>
      <c r="LS76" s="131"/>
      <c r="LT76" s="131"/>
      <c r="LU76" s="131"/>
      <c r="LV76" s="131"/>
      <c r="LW76" s="131"/>
      <c r="LX76" s="131"/>
      <c r="LY76" s="131"/>
      <c r="LZ76" s="131"/>
      <c r="MA76" s="131"/>
      <c r="MB76" s="131"/>
      <c r="MC76" s="131"/>
      <c r="MD76" s="131"/>
      <c r="ME76" s="131"/>
      <c r="MF76" s="131"/>
      <c r="MG76" s="131"/>
      <c r="MH76" s="131"/>
      <c r="MI76" s="131"/>
      <c r="MJ76" s="131"/>
      <c r="MK76" s="131"/>
      <c r="ML76" s="131"/>
      <c r="MM76" s="131"/>
      <c r="MN76" s="131"/>
      <c r="MO76" s="131"/>
      <c r="MP76" s="131"/>
      <c r="MQ76" s="131"/>
      <c r="MR76" s="131"/>
      <c r="MS76" s="131"/>
      <c r="MT76" s="131"/>
      <c r="MU76" s="131"/>
      <c r="MV76" s="131"/>
      <c r="MW76" s="131"/>
      <c r="MX76" s="131"/>
      <c r="MY76" s="131"/>
      <c r="MZ76" s="131"/>
      <c r="NA76" s="131"/>
      <c r="NB76" s="131"/>
      <c r="NC76" s="131"/>
      <c r="ND76" s="131"/>
      <c r="NE76" s="131"/>
      <c r="NF76" s="131"/>
      <c r="NG76" s="131"/>
      <c r="NH76" s="131"/>
      <c r="NI76" s="131"/>
      <c r="NJ76" s="131"/>
      <c r="NK76" s="131"/>
      <c r="NL76" s="131"/>
      <c r="NM76" s="131"/>
      <c r="NN76" s="131"/>
      <c r="NO76" s="131"/>
      <c r="NP76" s="131"/>
      <c r="NQ76" s="131"/>
      <c r="NR76" s="131"/>
      <c r="NS76" s="131"/>
      <c r="NT76" s="131"/>
      <c r="NU76" s="131"/>
      <c r="NV76" s="131"/>
      <c r="NW76" s="131"/>
      <c r="NX76" s="131"/>
      <c r="NY76" s="131"/>
      <c r="NZ76" s="131"/>
      <c r="OA76" s="131"/>
      <c r="OB76" s="131"/>
      <c r="OC76" s="131"/>
      <c r="OD76" s="131"/>
      <c r="OE76" s="131"/>
      <c r="OF76" s="131"/>
      <c r="OG76" s="131"/>
      <c r="OH76" s="132"/>
    </row>
    <row r="77" spans="1:398" x14ac:dyDescent="0.35">
      <c r="A77" s="102"/>
      <c r="B77" s="168">
        <f t="shared" si="8"/>
        <v>49</v>
      </c>
      <c r="C77" s="171" t="s">
        <v>903</v>
      </c>
      <c r="D77" s="124" t="s">
        <v>904</v>
      </c>
      <c r="E77" s="124" t="s">
        <v>750</v>
      </c>
      <c r="F77" s="125" t="s">
        <v>906</v>
      </c>
      <c r="G77" s="125" t="s">
        <v>202</v>
      </c>
      <c r="H77" s="125"/>
      <c r="I77" s="129">
        <v>0</v>
      </c>
      <c r="J77" s="129">
        <v>0</v>
      </c>
      <c r="K77" s="129">
        <v>0</v>
      </c>
      <c r="L77" s="129">
        <v>0</v>
      </c>
      <c r="M77" s="129">
        <v>0</v>
      </c>
      <c r="N77" s="129">
        <v>0</v>
      </c>
      <c r="O77" s="130">
        <f t="shared" si="43"/>
        <v>0</v>
      </c>
      <c r="P77" s="129">
        <v>0</v>
      </c>
      <c r="Q77" s="129">
        <v>0</v>
      </c>
      <c r="R77" s="129">
        <v>0</v>
      </c>
      <c r="S77" s="129">
        <v>0</v>
      </c>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1"/>
      <c r="BF77" s="131"/>
      <c r="BG77" s="131"/>
      <c r="BH77" s="131"/>
      <c r="BI77" s="131"/>
      <c r="BJ77" s="131"/>
      <c r="BK77" s="131"/>
      <c r="BL77" s="131"/>
      <c r="BM77" s="131"/>
      <c r="BN77" s="131"/>
      <c r="BO77" s="131"/>
      <c r="BP77" s="131"/>
      <c r="BQ77" s="131"/>
      <c r="BR77" s="131"/>
      <c r="BS77" s="131"/>
      <c r="BT77" s="131"/>
      <c r="BU77" s="131"/>
      <c r="BV77" s="131"/>
      <c r="BW77" s="131"/>
      <c r="BX77" s="131"/>
      <c r="BY77" s="131"/>
      <c r="BZ77" s="131"/>
      <c r="CA77" s="131"/>
      <c r="CB77" s="131"/>
      <c r="CC77" s="131"/>
      <c r="CD77" s="131"/>
      <c r="CE77" s="131"/>
      <c r="CF77" s="131"/>
      <c r="CG77" s="131"/>
      <c r="CH77" s="131"/>
      <c r="CI77" s="131"/>
      <c r="CJ77" s="131"/>
      <c r="CK77" s="131"/>
      <c r="CL77" s="131"/>
      <c r="CM77" s="131"/>
      <c r="CN77" s="131"/>
      <c r="CO77" s="131"/>
      <c r="CP77" s="131"/>
      <c r="CQ77" s="131"/>
      <c r="CR77" s="131"/>
      <c r="CS77" s="131"/>
      <c r="CT77" s="131"/>
      <c r="CU77" s="131"/>
      <c r="CV77" s="131"/>
      <c r="CW77" s="131"/>
      <c r="CX77" s="131"/>
      <c r="CY77" s="131"/>
      <c r="CZ77" s="131"/>
      <c r="DA77" s="131"/>
      <c r="DB77" s="131"/>
      <c r="DC77" s="131"/>
      <c r="DD77" s="131"/>
      <c r="DE77" s="131"/>
      <c r="DF77" s="131"/>
      <c r="DG77" s="131"/>
      <c r="DH77" s="131"/>
      <c r="DI77" s="131"/>
      <c r="DJ77" s="131"/>
      <c r="DK77" s="131"/>
      <c r="DL77" s="131"/>
      <c r="DM77" s="131"/>
      <c r="DN77" s="131"/>
      <c r="DO77" s="131"/>
      <c r="DP77" s="131"/>
      <c r="DQ77" s="131"/>
      <c r="DR77" s="131"/>
      <c r="DS77" s="131"/>
      <c r="DT77" s="131"/>
      <c r="DU77" s="131"/>
      <c r="DV77" s="131"/>
      <c r="DW77" s="131"/>
      <c r="DX77" s="131"/>
      <c r="DY77" s="131"/>
      <c r="DZ77" s="131"/>
      <c r="EA77" s="131"/>
      <c r="EB77" s="131"/>
      <c r="EC77" s="131"/>
      <c r="ED77" s="131"/>
      <c r="EE77" s="131"/>
      <c r="EF77" s="131"/>
      <c r="EG77" s="131"/>
      <c r="EH77" s="131"/>
      <c r="EI77" s="131"/>
      <c r="EJ77" s="131"/>
      <c r="EK77" s="131"/>
      <c r="EL77" s="131"/>
      <c r="EM77" s="131"/>
      <c r="EN77" s="131"/>
      <c r="EO77" s="131"/>
      <c r="EP77" s="131"/>
      <c r="EQ77" s="131"/>
      <c r="ER77" s="131"/>
      <c r="ES77" s="131"/>
      <c r="ET77" s="131"/>
      <c r="EU77" s="131"/>
      <c r="EV77" s="131"/>
      <c r="EW77" s="131"/>
      <c r="EX77" s="131"/>
      <c r="EY77" s="131"/>
      <c r="EZ77" s="131"/>
      <c r="FA77" s="131"/>
      <c r="FB77" s="131"/>
      <c r="FC77" s="131"/>
      <c r="FD77" s="131"/>
      <c r="FE77" s="131"/>
      <c r="FF77" s="131"/>
      <c r="FG77" s="131"/>
      <c r="FH77" s="131"/>
      <c r="FI77" s="131"/>
      <c r="FJ77" s="131"/>
      <c r="FK77" s="131"/>
      <c r="FL77" s="131"/>
      <c r="FM77" s="131"/>
      <c r="FN77" s="131"/>
      <c r="FO77" s="131"/>
      <c r="FP77" s="131"/>
      <c r="FQ77" s="131"/>
      <c r="FR77" s="131"/>
      <c r="FS77" s="131"/>
      <c r="FT77" s="131"/>
      <c r="FU77" s="131"/>
      <c r="FV77" s="131"/>
      <c r="FW77" s="131"/>
      <c r="FX77" s="131"/>
      <c r="FY77" s="131"/>
      <c r="FZ77" s="131"/>
      <c r="GA77" s="131"/>
      <c r="GB77" s="131"/>
      <c r="GC77" s="131"/>
      <c r="GD77" s="131"/>
      <c r="GE77" s="131"/>
      <c r="GF77" s="131"/>
      <c r="GG77" s="131"/>
      <c r="GH77" s="131"/>
      <c r="GI77" s="131"/>
      <c r="GJ77" s="131"/>
      <c r="GK77" s="131"/>
      <c r="GL77" s="131"/>
      <c r="GM77" s="131"/>
      <c r="GN77" s="131"/>
      <c r="GO77" s="131"/>
      <c r="GP77" s="131"/>
      <c r="GQ77" s="131"/>
      <c r="GR77" s="131"/>
      <c r="GS77" s="131"/>
      <c r="GT77" s="131"/>
      <c r="GU77" s="131"/>
      <c r="GV77" s="131"/>
      <c r="GW77" s="131"/>
      <c r="GX77" s="131"/>
      <c r="GY77" s="131"/>
      <c r="GZ77" s="131"/>
      <c r="HA77" s="131"/>
      <c r="HB77" s="131"/>
      <c r="HC77" s="131"/>
      <c r="HD77" s="131"/>
      <c r="HE77" s="131"/>
      <c r="HF77" s="131"/>
      <c r="HG77" s="131"/>
      <c r="HH77" s="131"/>
      <c r="HI77" s="131"/>
      <c r="HJ77" s="131"/>
      <c r="HK77" s="131"/>
      <c r="HL77" s="131"/>
      <c r="HM77" s="131"/>
      <c r="HN77" s="131"/>
      <c r="HO77" s="131"/>
      <c r="HP77" s="131"/>
      <c r="HQ77" s="131"/>
      <c r="HR77" s="131"/>
      <c r="HS77" s="131"/>
      <c r="HT77" s="131"/>
      <c r="HU77" s="131"/>
      <c r="HV77" s="131"/>
      <c r="HW77" s="131"/>
      <c r="HX77" s="131"/>
      <c r="HY77" s="131"/>
      <c r="HZ77" s="131"/>
      <c r="IA77" s="131"/>
      <c r="IB77" s="131"/>
      <c r="IC77" s="131"/>
      <c r="ID77" s="131"/>
      <c r="IE77" s="131"/>
      <c r="IF77" s="131"/>
      <c r="IG77" s="131"/>
      <c r="IH77" s="131"/>
      <c r="II77" s="131"/>
      <c r="IJ77" s="131"/>
      <c r="IK77" s="131"/>
      <c r="IL77" s="131"/>
      <c r="IM77" s="131"/>
      <c r="IN77" s="131"/>
      <c r="IO77" s="131"/>
      <c r="IP77" s="131"/>
      <c r="IQ77" s="131"/>
      <c r="IR77" s="131"/>
      <c r="IS77" s="131"/>
      <c r="IT77" s="131"/>
      <c r="IU77" s="131"/>
      <c r="IV77" s="131"/>
      <c r="IW77" s="131"/>
      <c r="IX77" s="131"/>
      <c r="IY77" s="131"/>
      <c r="IZ77" s="131"/>
      <c r="JA77" s="131"/>
      <c r="JB77" s="131"/>
      <c r="JC77" s="131"/>
      <c r="JD77" s="131"/>
      <c r="JE77" s="131"/>
      <c r="JF77" s="131"/>
      <c r="JG77" s="131"/>
      <c r="JH77" s="131"/>
      <c r="JI77" s="131"/>
      <c r="JJ77" s="131"/>
      <c r="JK77" s="131"/>
      <c r="JL77" s="131"/>
      <c r="JM77" s="131"/>
      <c r="JN77" s="131"/>
      <c r="JO77" s="131"/>
      <c r="JP77" s="131"/>
      <c r="JQ77" s="131"/>
      <c r="JR77" s="131"/>
      <c r="JS77" s="131"/>
      <c r="JT77" s="131"/>
      <c r="JU77" s="131"/>
      <c r="JV77" s="131"/>
      <c r="JW77" s="131"/>
      <c r="JX77" s="131"/>
      <c r="JY77" s="131"/>
      <c r="JZ77" s="131"/>
      <c r="KA77" s="131"/>
      <c r="KB77" s="131"/>
      <c r="KC77" s="131"/>
      <c r="KD77" s="131"/>
      <c r="KE77" s="131"/>
      <c r="KF77" s="131"/>
      <c r="KG77" s="131"/>
      <c r="KH77" s="131"/>
      <c r="KI77" s="131"/>
      <c r="KJ77" s="131"/>
      <c r="KK77" s="131"/>
      <c r="KL77" s="131"/>
      <c r="KM77" s="131"/>
      <c r="KN77" s="131"/>
      <c r="KO77" s="131"/>
      <c r="KP77" s="131"/>
      <c r="KQ77" s="131"/>
      <c r="KR77" s="131"/>
      <c r="KS77" s="131"/>
      <c r="KT77" s="131"/>
      <c r="KU77" s="131"/>
      <c r="KV77" s="131"/>
      <c r="KW77" s="131"/>
      <c r="KX77" s="131"/>
      <c r="KY77" s="131"/>
      <c r="KZ77" s="131"/>
      <c r="LA77" s="131"/>
      <c r="LB77" s="131"/>
      <c r="LC77" s="131"/>
      <c r="LD77" s="131"/>
      <c r="LE77" s="131"/>
      <c r="LF77" s="131"/>
      <c r="LG77" s="131"/>
      <c r="LH77" s="131"/>
      <c r="LI77" s="131"/>
      <c r="LJ77" s="131"/>
      <c r="LK77" s="131"/>
      <c r="LL77" s="131"/>
      <c r="LM77" s="131"/>
      <c r="LN77" s="131"/>
      <c r="LO77" s="131"/>
      <c r="LP77" s="131"/>
      <c r="LQ77" s="131"/>
      <c r="LR77" s="131"/>
      <c r="LS77" s="131"/>
      <c r="LT77" s="131"/>
      <c r="LU77" s="131"/>
      <c r="LV77" s="131"/>
      <c r="LW77" s="131"/>
      <c r="LX77" s="131"/>
      <c r="LY77" s="131"/>
      <c r="LZ77" s="131"/>
      <c r="MA77" s="131"/>
      <c r="MB77" s="131"/>
      <c r="MC77" s="131"/>
      <c r="MD77" s="131"/>
      <c r="ME77" s="131"/>
      <c r="MF77" s="131"/>
      <c r="MG77" s="131"/>
      <c r="MH77" s="131"/>
      <c r="MI77" s="131"/>
      <c r="MJ77" s="131"/>
      <c r="MK77" s="131"/>
      <c r="ML77" s="131"/>
      <c r="MM77" s="131"/>
      <c r="MN77" s="131"/>
      <c r="MO77" s="131"/>
      <c r="MP77" s="131"/>
      <c r="MQ77" s="131"/>
      <c r="MR77" s="131"/>
      <c r="MS77" s="131"/>
      <c r="MT77" s="131"/>
      <c r="MU77" s="131"/>
      <c r="MV77" s="131"/>
      <c r="MW77" s="131"/>
      <c r="MX77" s="131"/>
      <c r="MY77" s="131"/>
      <c r="MZ77" s="131"/>
      <c r="NA77" s="131"/>
      <c r="NB77" s="131"/>
      <c r="NC77" s="131"/>
      <c r="ND77" s="131"/>
      <c r="NE77" s="131"/>
      <c r="NF77" s="131"/>
      <c r="NG77" s="131"/>
      <c r="NH77" s="131"/>
      <c r="NI77" s="131"/>
      <c r="NJ77" s="131"/>
      <c r="NK77" s="131"/>
      <c r="NL77" s="131"/>
      <c r="NM77" s="131"/>
      <c r="NN77" s="131"/>
      <c r="NO77" s="131"/>
      <c r="NP77" s="131"/>
      <c r="NQ77" s="131"/>
      <c r="NR77" s="131"/>
      <c r="NS77" s="131"/>
      <c r="NT77" s="131"/>
      <c r="NU77" s="131"/>
      <c r="NV77" s="131"/>
      <c r="NW77" s="131"/>
      <c r="NX77" s="131"/>
      <c r="NY77" s="131"/>
      <c r="NZ77" s="131"/>
      <c r="OA77" s="131"/>
      <c r="OB77" s="131"/>
      <c r="OC77" s="131"/>
      <c r="OD77" s="131"/>
      <c r="OE77" s="131"/>
      <c r="OF77" s="131"/>
      <c r="OG77" s="131"/>
      <c r="OH77" s="132"/>
    </row>
    <row r="78" spans="1:398" x14ac:dyDescent="0.35">
      <c r="A78" s="102"/>
      <c r="B78" s="168">
        <f t="shared" si="8"/>
        <v>50</v>
      </c>
      <c r="C78" s="171" t="s">
        <v>903</v>
      </c>
      <c r="D78" s="124" t="s">
        <v>904</v>
      </c>
      <c r="E78" s="124" t="s">
        <v>750</v>
      </c>
      <c r="F78" s="125" t="s">
        <v>906</v>
      </c>
      <c r="G78" s="125" t="s">
        <v>738</v>
      </c>
      <c r="H78" s="125"/>
      <c r="I78" s="130">
        <f>SUM(I72:I77)</f>
        <v>0</v>
      </c>
      <c r="J78" s="130">
        <f>SUM(J72:J77)</f>
        <v>0</v>
      </c>
      <c r="K78" s="130">
        <f>SUM(K72:K77)</f>
        <v>0</v>
      </c>
      <c r="L78" s="130">
        <f>SUM(L72:L77)</f>
        <v>0</v>
      </c>
      <c r="M78" s="130">
        <f>SUM(M72:M77)</f>
        <v>0</v>
      </c>
      <c r="N78" s="130">
        <f t="shared" ref="N78:O78" si="44">SUM(N72:N77)</f>
        <v>0</v>
      </c>
      <c r="O78" s="130">
        <f t="shared" si="44"/>
        <v>0</v>
      </c>
      <c r="P78" s="130">
        <f t="shared" ref="P78:R78" si="45">SUM(P73:P77,P72)</f>
        <v>0</v>
      </c>
      <c r="Q78" s="130">
        <f t="shared" si="45"/>
        <v>0</v>
      </c>
      <c r="R78" s="130">
        <f t="shared" si="45"/>
        <v>0</v>
      </c>
      <c r="S78" s="130">
        <f t="shared" ref="S78" si="46">SUM(S73:S77,S72)</f>
        <v>0</v>
      </c>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c r="AP78" s="131"/>
      <c r="AQ78" s="131"/>
      <c r="AR78" s="131"/>
      <c r="AS78" s="131"/>
      <c r="AT78" s="131"/>
      <c r="AU78" s="131"/>
      <c r="AV78" s="131"/>
      <c r="AW78" s="131"/>
      <c r="AX78" s="131"/>
      <c r="AY78" s="131"/>
      <c r="AZ78" s="131"/>
      <c r="BA78" s="131"/>
      <c r="BB78" s="131"/>
      <c r="BC78" s="131"/>
      <c r="BD78" s="131"/>
      <c r="BE78" s="131"/>
      <c r="BF78" s="131"/>
      <c r="BG78" s="131"/>
      <c r="BH78" s="131"/>
      <c r="BI78" s="131"/>
      <c r="BJ78" s="131"/>
      <c r="BK78" s="131"/>
      <c r="BL78" s="131"/>
      <c r="BM78" s="131"/>
      <c r="BN78" s="131"/>
      <c r="BO78" s="131"/>
      <c r="BP78" s="131"/>
      <c r="BQ78" s="131"/>
      <c r="BR78" s="131"/>
      <c r="BS78" s="131"/>
      <c r="BT78" s="131"/>
      <c r="BU78" s="131"/>
      <c r="BV78" s="131"/>
      <c r="BW78" s="131"/>
      <c r="BX78" s="131"/>
      <c r="BY78" s="131"/>
      <c r="BZ78" s="131"/>
      <c r="CA78" s="131"/>
      <c r="CB78" s="131"/>
      <c r="CC78" s="131"/>
      <c r="CD78" s="131"/>
      <c r="CE78" s="131"/>
      <c r="CF78" s="131"/>
      <c r="CG78" s="131"/>
      <c r="CH78" s="131"/>
      <c r="CI78" s="131"/>
      <c r="CJ78" s="131"/>
      <c r="CK78" s="131"/>
      <c r="CL78" s="131"/>
      <c r="CM78" s="131"/>
      <c r="CN78" s="131"/>
      <c r="CO78" s="131"/>
      <c r="CP78" s="131"/>
      <c r="CQ78" s="131"/>
      <c r="CR78" s="131"/>
      <c r="CS78" s="131"/>
      <c r="CT78" s="131"/>
      <c r="CU78" s="131"/>
      <c r="CV78" s="131"/>
      <c r="CW78" s="131"/>
      <c r="CX78" s="131"/>
      <c r="CY78" s="131"/>
      <c r="CZ78" s="131"/>
      <c r="DA78" s="131"/>
      <c r="DB78" s="131"/>
      <c r="DC78" s="131"/>
      <c r="DD78" s="131"/>
      <c r="DE78" s="131"/>
      <c r="DF78" s="131"/>
      <c r="DG78" s="131"/>
      <c r="DH78" s="131"/>
      <c r="DI78" s="131"/>
      <c r="DJ78" s="131"/>
      <c r="DK78" s="131"/>
      <c r="DL78" s="131"/>
      <c r="DM78" s="131"/>
      <c r="DN78" s="131"/>
      <c r="DO78" s="131"/>
      <c r="DP78" s="131"/>
      <c r="DQ78" s="131"/>
      <c r="DR78" s="131"/>
      <c r="DS78" s="131"/>
      <c r="DT78" s="131"/>
      <c r="DU78" s="131"/>
      <c r="DV78" s="131"/>
      <c r="DW78" s="131"/>
      <c r="DX78" s="131"/>
      <c r="DY78" s="131"/>
      <c r="DZ78" s="131"/>
      <c r="EA78" s="131"/>
      <c r="EB78" s="131"/>
      <c r="EC78" s="131"/>
      <c r="ED78" s="131"/>
      <c r="EE78" s="131"/>
      <c r="EF78" s="131"/>
      <c r="EG78" s="131"/>
      <c r="EH78" s="131"/>
      <c r="EI78" s="131"/>
      <c r="EJ78" s="131"/>
      <c r="EK78" s="131"/>
      <c r="EL78" s="131"/>
      <c r="EM78" s="131"/>
      <c r="EN78" s="131"/>
      <c r="EO78" s="131"/>
      <c r="EP78" s="131"/>
      <c r="EQ78" s="131"/>
      <c r="ER78" s="131"/>
      <c r="ES78" s="131"/>
      <c r="ET78" s="131"/>
      <c r="EU78" s="131"/>
      <c r="EV78" s="131"/>
      <c r="EW78" s="131"/>
      <c r="EX78" s="131"/>
      <c r="EY78" s="131"/>
      <c r="EZ78" s="131"/>
      <c r="FA78" s="131"/>
      <c r="FB78" s="131"/>
      <c r="FC78" s="131"/>
      <c r="FD78" s="131"/>
      <c r="FE78" s="131"/>
      <c r="FF78" s="131"/>
      <c r="FG78" s="131"/>
      <c r="FH78" s="131"/>
      <c r="FI78" s="131"/>
      <c r="FJ78" s="131"/>
      <c r="FK78" s="131"/>
      <c r="FL78" s="131"/>
      <c r="FM78" s="131"/>
      <c r="FN78" s="131"/>
      <c r="FO78" s="131"/>
      <c r="FP78" s="131"/>
      <c r="FQ78" s="131"/>
      <c r="FR78" s="131"/>
      <c r="FS78" s="131"/>
      <c r="FT78" s="131"/>
      <c r="FU78" s="131"/>
      <c r="FV78" s="131"/>
      <c r="FW78" s="131"/>
      <c r="FX78" s="131"/>
      <c r="FY78" s="131"/>
      <c r="FZ78" s="131"/>
      <c r="GA78" s="131"/>
      <c r="GB78" s="131"/>
      <c r="GC78" s="131"/>
      <c r="GD78" s="131"/>
      <c r="GE78" s="131"/>
      <c r="GF78" s="131"/>
      <c r="GG78" s="131"/>
      <c r="GH78" s="131"/>
      <c r="GI78" s="131"/>
      <c r="GJ78" s="131"/>
      <c r="GK78" s="131"/>
      <c r="GL78" s="131"/>
      <c r="GM78" s="131"/>
      <c r="GN78" s="131"/>
      <c r="GO78" s="131"/>
      <c r="GP78" s="131"/>
      <c r="GQ78" s="131"/>
      <c r="GR78" s="131"/>
      <c r="GS78" s="131"/>
      <c r="GT78" s="131"/>
      <c r="GU78" s="131"/>
      <c r="GV78" s="131"/>
      <c r="GW78" s="131"/>
      <c r="GX78" s="131"/>
      <c r="GY78" s="131"/>
      <c r="GZ78" s="131"/>
      <c r="HA78" s="131"/>
      <c r="HB78" s="131"/>
      <c r="HC78" s="131"/>
      <c r="HD78" s="131"/>
      <c r="HE78" s="131"/>
      <c r="HF78" s="131"/>
      <c r="HG78" s="131"/>
      <c r="HH78" s="131"/>
      <c r="HI78" s="131"/>
      <c r="HJ78" s="131"/>
      <c r="HK78" s="131"/>
      <c r="HL78" s="131"/>
      <c r="HM78" s="131"/>
      <c r="HN78" s="131"/>
      <c r="HO78" s="131"/>
      <c r="HP78" s="131"/>
      <c r="HQ78" s="131"/>
      <c r="HR78" s="131"/>
      <c r="HS78" s="131"/>
      <c r="HT78" s="131"/>
      <c r="HU78" s="131"/>
      <c r="HV78" s="131"/>
      <c r="HW78" s="131"/>
      <c r="HX78" s="131"/>
      <c r="HY78" s="131"/>
      <c r="HZ78" s="131"/>
      <c r="IA78" s="131"/>
      <c r="IB78" s="131"/>
      <c r="IC78" s="131"/>
      <c r="ID78" s="131"/>
      <c r="IE78" s="131"/>
      <c r="IF78" s="131"/>
      <c r="IG78" s="131"/>
      <c r="IH78" s="131"/>
      <c r="II78" s="131"/>
      <c r="IJ78" s="131"/>
      <c r="IK78" s="131"/>
      <c r="IL78" s="131"/>
      <c r="IM78" s="131"/>
      <c r="IN78" s="131"/>
      <c r="IO78" s="131"/>
      <c r="IP78" s="131"/>
      <c r="IQ78" s="131"/>
      <c r="IR78" s="131"/>
      <c r="IS78" s="131"/>
      <c r="IT78" s="131"/>
      <c r="IU78" s="131"/>
      <c r="IV78" s="131"/>
      <c r="IW78" s="131"/>
      <c r="IX78" s="131"/>
      <c r="IY78" s="131"/>
      <c r="IZ78" s="131"/>
      <c r="JA78" s="131"/>
      <c r="JB78" s="131"/>
      <c r="JC78" s="131"/>
      <c r="JD78" s="131"/>
      <c r="JE78" s="131"/>
      <c r="JF78" s="131"/>
      <c r="JG78" s="131"/>
      <c r="JH78" s="131"/>
      <c r="JI78" s="131"/>
      <c r="JJ78" s="131"/>
      <c r="JK78" s="131"/>
      <c r="JL78" s="131"/>
      <c r="JM78" s="131"/>
      <c r="JN78" s="131"/>
      <c r="JO78" s="131"/>
      <c r="JP78" s="131"/>
      <c r="JQ78" s="131"/>
      <c r="JR78" s="131"/>
      <c r="JS78" s="131"/>
      <c r="JT78" s="131"/>
      <c r="JU78" s="131"/>
      <c r="JV78" s="131"/>
      <c r="JW78" s="131"/>
      <c r="JX78" s="131"/>
      <c r="JY78" s="131"/>
      <c r="JZ78" s="131"/>
      <c r="KA78" s="131"/>
      <c r="KB78" s="131"/>
      <c r="KC78" s="131"/>
      <c r="KD78" s="131"/>
      <c r="KE78" s="131"/>
      <c r="KF78" s="131"/>
      <c r="KG78" s="131"/>
      <c r="KH78" s="131"/>
      <c r="KI78" s="131"/>
      <c r="KJ78" s="131"/>
      <c r="KK78" s="131"/>
      <c r="KL78" s="131"/>
      <c r="KM78" s="131"/>
      <c r="KN78" s="131"/>
      <c r="KO78" s="131"/>
      <c r="KP78" s="131"/>
      <c r="KQ78" s="131"/>
      <c r="KR78" s="131"/>
      <c r="KS78" s="131"/>
      <c r="KT78" s="131"/>
      <c r="KU78" s="131"/>
      <c r="KV78" s="131"/>
      <c r="KW78" s="131"/>
      <c r="KX78" s="131"/>
      <c r="KY78" s="131"/>
      <c r="KZ78" s="131"/>
      <c r="LA78" s="131"/>
      <c r="LB78" s="131"/>
      <c r="LC78" s="131"/>
      <c r="LD78" s="131"/>
      <c r="LE78" s="131"/>
      <c r="LF78" s="131"/>
      <c r="LG78" s="131"/>
      <c r="LH78" s="131"/>
      <c r="LI78" s="131"/>
      <c r="LJ78" s="131"/>
      <c r="LK78" s="131"/>
      <c r="LL78" s="131"/>
      <c r="LM78" s="131"/>
      <c r="LN78" s="131"/>
      <c r="LO78" s="131"/>
      <c r="LP78" s="131"/>
      <c r="LQ78" s="131"/>
      <c r="LR78" s="131"/>
      <c r="LS78" s="131"/>
      <c r="LT78" s="131"/>
      <c r="LU78" s="131"/>
      <c r="LV78" s="131"/>
      <c r="LW78" s="131"/>
      <c r="LX78" s="131"/>
      <c r="LY78" s="131"/>
      <c r="LZ78" s="131"/>
      <c r="MA78" s="131"/>
      <c r="MB78" s="131"/>
      <c r="MC78" s="131"/>
      <c r="MD78" s="131"/>
      <c r="ME78" s="131"/>
      <c r="MF78" s="131"/>
      <c r="MG78" s="131"/>
      <c r="MH78" s="131"/>
      <c r="MI78" s="131"/>
      <c r="MJ78" s="131"/>
      <c r="MK78" s="131"/>
      <c r="ML78" s="131"/>
      <c r="MM78" s="131"/>
      <c r="MN78" s="131"/>
      <c r="MO78" s="131"/>
      <c r="MP78" s="131"/>
      <c r="MQ78" s="131"/>
      <c r="MR78" s="131"/>
      <c r="MS78" s="131"/>
      <c r="MT78" s="131"/>
      <c r="MU78" s="131"/>
      <c r="MV78" s="131"/>
      <c r="MW78" s="131"/>
      <c r="MX78" s="131"/>
      <c r="MY78" s="131"/>
      <c r="MZ78" s="131"/>
      <c r="NA78" s="131"/>
      <c r="NB78" s="131"/>
      <c r="NC78" s="131"/>
      <c r="ND78" s="131"/>
      <c r="NE78" s="131"/>
      <c r="NF78" s="131"/>
      <c r="NG78" s="131"/>
      <c r="NH78" s="131"/>
      <c r="NI78" s="131"/>
      <c r="NJ78" s="131"/>
      <c r="NK78" s="131"/>
      <c r="NL78" s="131"/>
      <c r="NM78" s="131"/>
      <c r="NN78" s="131"/>
      <c r="NO78" s="131"/>
      <c r="NP78" s="131"/>
      <c r="NQ78" s="131"/>
      <c r="NR78" s="131"/>
      <c r="NS78" s="131"/>
      <c r="NT78" s="131"/>
      <c r="NU78" s="131"/>
      <c r="NV78" s="131"/>
      <c r="NW78" s="131"/>
      <c r="NX78" s="131"/>
      <c r="NY78" s="131"/>
      <c r="NZ78" s="131"/>
      <c r="OA78" s="131"/>
      <c r="OB78" s="131"/>
      <c r="OC78" s="131"/>
      <c r="OD78" s="131"/>
      <c r="OE78" s="131"/>
      <c r="OF78" s="131"/>
      <c r="OG78" s="131"/>
      <c r="OH78" s="132"/>
    </row>
    <row r="79" spans="1:398" x14ac:dyDescent="0.35">
      <c r="A79" s="102"/>
      <c r="B79" s="168">
        <f t="shared" si="8"/>
        <v>51</v>
      </c>
      <c r="C79" s="171" t="s">
        <v>903</v>
      </c>
      <c r="D79" s="124" t="s">
        <v>904</v>
      </c>
      <c r="E79" s="124" t="s">
        <v>750</v>
      </c>
      <c r="F79" s="125" t="s">
        <v>907</v>
      </c>
      <c r="G79" s="125" t="s">
        <v>739</v>
      </c>
      <c r="H79" s="125"/>
      <c r="I79" s="129">
        <v>0</v>
      </c>
      <c r="J79" s="129">
        <v>0</v>
      </c>
      <c r="K79" s="129">
        <v>0</v>
      </c>
      <c r="L79" s="129">
        <v>0</v>
      </c>
      <c r="M79" s="129">
        <v>0</v>
      </c>
      <c r="N79" s="129">
        <v>0</v>
      </c>
      <c r="O79" s="130">
        <f t="shared" ref="O79:O84" si="47">SUM(P79,R79)</f>
        <v>0</v>
      </c>
      <c r="P79" s="129">
        <v>0</v>
      </c>
      <c r="Q79" s="129">
        <v>0</v>
      </c>
      <c r="R79" s="129">
        <v>0</v>
      </c>
      <c r="S79" s="129">
        <v>0</v>
      </c>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31"/>
      <c r="BQ79" s="131"/>
      <c r="BR79" s="131"/>
      <c r="BS79" s="131"/>
      <c r="BT79" s="131"/>
      <c r="BU79" s="131"/>
      <c r="BV79" s="131"/>
      <c r="BW79" s="131"/>
      <c r="BX79" s="131"/>
      <c r="BY79" s="131"/>
      <c r="BZ79" s="131"/>
      <c r="CA79" s="131"/>
      <c r="CB79" s="131"/>
      <c r="CC79" s="131"/>
      <c r="CD79" s="131"/>
      <c r="CE79" s="131"/>
      <c r="CF79" s="131"/>
      <c r="CG79" s="131"/>
      <c r="CH79" s="131"/>
      <c r="CI79" s="131"/>
      <c r="CJ79" s="131"/>
      <c r="CK79" s="131"/>
      <c r="CL79" s="131"/>
      <c r="CM79" s="131"/>
      <c r="CN79" s="131"/>
      <c r="CO79" s="131"/>
      <c r="CP79" s="131"/>
      <c r="CQ79" s="131"/>
      <c r="CR79" s="131"/>
      <c r="CS79" s="131"/>
      <c r="CT79" s="131"/>
      <c r="CU79" s="131"/>
      <c r="CV79" s="131"/>
      <c r="CW79" s="131"/>
      <c r="CX79" s="131"/>
      <c r="CY79" s="131"/>
      <c r="CZ79" s="131"/>
      <c r="DA79" s="131"/>
      <c r="DB79" s="131"/>
      <c r="DC79" s="131"/>
      <c r="DD79" s="131"/>
      <c r="DE79" s="131"/>
      <c r="DF79" s="131"/>
      <c r="DG79" s="131"/>
      <c r="DH79" s="131"/>
      <c r="DI79" s="131"/>
      <c r="DJ79" s="131"/>
      <c r="DK79" s="131"/>
      <c r="DL79" s="131"/>
      <c r="DM79" s="131"/>
      <c r="DN79" s="131"/>
      <c r="DO79" s="131"/>
      <c r="DP79" s="131"/>
      <c r="DQ79" s="131"/>
      <c r="DR79" s="131"/>
      <c r="DS79" s="131"/>
      <c r="DT79" s="131"/>
      <c r="DU79" s="131"/>
      <c r="DV79" s="131"/>
      <c r="DW79" s="131"/>
      <c r="DX79" s="131"/>
      <c r="DY79" s="131"/>
      <c r="DZ79" s="131"/>
      <c r="EA79" s="131"/>
      <c r="EB79" s="131"/>
      <c r="EC79" s="131"/>
      <c r="ED79" s="131"/>
      <c r="EE79" s="131"/>
      <c r="EF79" s="131"/>
      <c r="EG79" s="131"/>
      <c r="EH79" s="131"/>
      <c r="EI79" s="131"/>
      <c r="EJ79" s="131"/>
      <c r="EK79" s="131"/>
      <c r="EL79" s="131"/>
      <c r="EM79" s="131"/>
      <c r="EN79" s="131"/>
      <c r="EO79" s="131"/>
      <c r="EP79" s="131"/>
      <c r="EQ79" s="131"/>
      <c r="ER79" s="131"/>
      <c r="ES79" s="131"/>
      <c r="ET79" s="131"/>
      <c r="EU79" s="131"/>
      <c r="EV79" s="131"/>
      <c r="EW79" s="131"/>
      <c r="EX79" s="131"/>
      <c r="EY79" s="131"/>
      <c r="EZ79" s="131"/>
      <c r="FA79" s="131"/>
      <c r="FB79" s="131"/>
      <c r="FC79" s="131"/>
      <c r="FD79" s="131"/>
      <c r="FE79" s="131"/>
      <c r="FF79" s="131"/>
      <c r="FG79" s="131"/>
      <c r="FH79" s="131"/>
      <c r="FI79" s="131"/>
      <c r="FJ79" s="131"/>
      <c r="FK79" s="131"/>
      <c r="FL79" s="131"/>
      <c r="FM79" s="131"/>
      <c r="FN79" s="131"/>
      <c r="FO79" s="131"/>
      <c r="FP79" s="131"/>
      <c r="FQ79" s="131"/>
      <c r="FR79" s="131"/>
      <c r="FS79" s="131"/>
      <c r="FT79" s="131"/>
      <c r="FU79" s="131"/>
      <c r="FV79" s="131"/>
      <c r="FW79" s="131"/>
      <c r="FX79" s="131"/>
      <c r="FY79" s="131"/>
      <c r="FZ79" s="131"/>
      <c r="GA79" s="131"/>
      <c r="GB79" s="131"/>
      <c r="GC79" s="131"/>
      <c r="GD79" s="131"/>
      <c r="GE79" s="131"/>
      <c r="GF79" s="131"/>
      <c r="GG79" s="131"/>
      <c r="GH79" s="131"/>
      <c r="GI79" s="131"/>
      <c r="GJ79" s="131"/>
      <c r="GK79" s="131"/>
      <c r="GL79" s="131"/>
      <c r="GM79" s="131"/>
      <c r="GN79" s="131"/>
      <c r="GO79" s="131"/>
      <c r="GP79" s="131"/>
      <c r="GQ79" s="131"/>
      <c r="GR79" s="131"/>
      <c r="GS79" s="131"/>
      <c r="GT79" s="131"/>
      <c r="GU79" s="131"/>
      <c r="GV79" s="131"/>
      <c r="GW79" s="131"/>
      <c r="GX79" s="131"/>
      <c r="GY79" s="131"/>
      <c r="GZ79" s="131"/>
      <c r="HA79" s="131"/>
      <c r="HB79" s="131"/>
      <c r="HC79" s="131"/>
      <c r="HD79" s="131"/>
      <c r="HE79" s="131"/>
      <c r="HF79" s="131"/>
      <c r="HG79" s="131"/>
      <c r="HH79" s="131"/>
      <c r="HI79" s="131"/>
      <c r="HJ79" s="131"/>
      <c r="HK79" s="131"/>
      <c r="HL79" s="131"/>
      <c r="HM79" s="131"/>
      <c r="HN79" s="131"/>
      <c r="HO79" s="131"/>
      <c r="HP79" s="131"/>
      <c r="HQ79" s="131"/>
      <c r="HR79" s="131"/>
      <c r="HS79" s="131"/>
      <c r="HT79" s="131"/>
      <c r="HU79" s="131"/>
      <c r="HV79" s="131"/>
      <c r="HW79" s="131"/>
      <c r="HX79" s="131"/>
      <c r="HY79" s="131"/>
      <c r="HZ79" s="131"/>
      <c r="IA79" s="131"/>
      <c r="IB79" s="131"/>
      <c r="IC79" s="131"/>
      <c r="ID79" s="131"/>
      <c r="IE79" s="131"/>
      <c r="IF79" s="131"/>
      <c r="IG79" s="131"/>
      <c r="IH79" s="131"/>
      <c r="II79" s="131"/>
      <c r="IJ79" s="131"/>
      <c r="IK79" s="131"/>
      <c r="IL79" s="131"/>
      <c r="IM79" s="131"/>
      <c r="IN79" s="131"/>
      <c r="IO79" s="131"/>
      <c r="IP79" s="131"/>
      <c r="IQ79" s="131"/>
      <c r="IR79" s="131"/>
      <c r="IS79" s="131"/>
      <c r="IT79" s="131"/>
      <c r="IU79" s="131"/>
      <c r="IV79" s="131"/>
      <c r="IW79" s="131"/>
      <c r="IX79" s="131"/>
      <c r="IY79" s="131"/>
      <c r="IZ79" s="131"/>
      <c r="JA79" s="131"/>
      <c r="JB79" s="131"/>
      <c r="JC79" s="131"/>
      <c r="JD79" s="131"/>
      <c r="JE79" s="131"/>
      <c r="JF79" s="131"/>
      <c r="JG79" s="131"/>
      <c r="JH79" s="131"/>
      <c r="JI79" s="131"/>
      <c r="JJ79" s="131"/>
      <c r="JK79" s="131"/>
      <c r="JL79" s="131"/>
      <c r="JM79" s="131"/>
      <c r="JN79" s="131"/>
      <c r="JO79" s="131"/>
      <c r="JP79" s="131"/>
      <c r="JQ79" s="131"/>
      <c r="JR79" s="131"/>
      <c r="JS79" s="131"/>
      <c r="JT79" s="131"/>
      <c r="JU79" s="131"/>
      <c r="JV79" s="131"/>
      <c r="JW79" s="131"/>
      <c r="JX79" s="131"/>
      <c r="JY79" s="131"/>
      <c r="JZ79" s="131"/>
      <c r="KA79" s="131"/>
      <c r="KB79" s="131"/>
      <c r="KC79" s="131"/>
      <c r="KD79" s="131"/>
      <c r="KE79" s="131"/>
      <c r="KF79" s="131"/>
      <c r="KG79" s="131"/>
      <c r="KH79" s="131"/>
      <c r="KI79" s="131"/>
      <c r="KJ79" s="131"/>
      <c r="KK79" s="131"/>
      <c r="KL79" s="131"/>
      <c r="KM79" s="131"/>
      <c r="KN79" s="131"/>
      <c r="KO79" s="131"/>
      <c r="KP79" s="131"/>
      <c r="KQ79" s="131"/>
      <c r="KR79" s="131"/>
      <c r="KS79" s="131"/>
      <c r="KT79" s="131"/>
      <c r="KU79" s="131"/>
      <c r="KV79" s="131"/>
      <c r="KW79" s="131"/>
      <c r="KX79" s="131"/>
      <c r="KY79" s="131"/>
      <c r="KZ79" s="131"/>
      <c r="LA79" s="131"/>
      <c r="LB79" s="131"/>
      <c r="LC79" s="131"/>
      <c r="LD79" s="131"/>
      <c r="LE79" s="131"/>
      <c r="LF79" s="131"/>
      <c r="LG79" s="131"/>
      <c r="LH79" s="131"/>
      <c r="LI79" s="131"/>
      <c r="LJ79" s="131"/>
      <c r="LK79" s="131"/>
      <c r="LL79" s="131"/>
      <c r="LM79" s="131"/>
      <c r="LN79" s="131"/>
      <c r="LO79" s="131"/>
      <c r="LP79" s="131"/>
      <c r="LQ79" s="131"/>
      <c r="LR79" s="131"/>
      <c r="LS79" s="131"/>
      <c r="LT79" s="131"/>
      <c r="LU79" s="131"/>
      <c r="LV79" s="131"/>
      <c r="LW79" s="131"/>
      <c r="LX79" s="131"/>
      <c r="LY79" s="131"/>
      <c r="LZ79" s="131"/>
      <c r="MA79" s="131"/>
      <c r="MB79" s="131"/>
      <c r="MC79" s="131"/>
      <c r="MD79" s="131"/>
      <c r="ME79" s="131"/>
      <c r="MF79" s="131"/>
      <c r="MG79" s="131"/>
      <c r="MH79" s="131"/>
      <c r="MI79" s="131"/>
      <c r="MJ79" s="131"/>
      <c r="MK79" s="131"/>
      <c r="ML79" s="131"/>
      <c r="MM79" s="131"/>
      <c r="MN79" s="131"/>
      <c r="MO79" s="131"/>
      <c r="MP79" s="131"/>
      <c r="MQ79" s="131"/>
      <c r="MR79" s="131"/>
      <c r="MS79" s="131"/>
      <c r="MT79" s="131"/>
      <c r="MU79" s="131"/>
      <c r="MV79" s="131"/>
      <c r="MW79" s="131"/>
      <c r="MX79" s="131"/>
      <c r="MY79" s="131"/>
      <c r="MZ79" s="131"/>
      <c r="NA79" s="131"/>
      <c r="NB79" s="131"/>
      <c r="NC79" s="131"/>
      <c r="ND79" s="131"/>
      <c r="NE79" s="131"/>
      <c r="NF79" s="131"/>
      <c r="NG79" s="131"/>
      <c r="NH79" s="131"/>
      <c r="NI79" s="131"/>
      <c r="NJ79" s="131"/>
      <c r="NK79" s="131"/>
      <c r="NL79" s="131"/>
      <c r="NM79" s="131"/>
      <c r="NN79" s="131"/>
      <c r="NO79" s="131"/>
      <c r="NP79" s="131"/>
      <c r="NQ79" s="131"/>
      <c r="NR79" s="131"/>
      <c r="NS79" s="131"/>
      <c r="NT79" s="131"/>
      <c r="NU79" s="131"/>
      <c r="NV79" s="131"/>
      <c r="NW79" s="131"/>
      <c r="NX79" s="131"/>
      <c r="NY79" s="131"/>
      <c r="NZ79" s="131"/>
      <c r="OA79" s="131"/>
      <c r="OB79" s="131"/>
      <c r="OC79" s="131"/>
      <c r="OD79" s="131"/>
      <c r="OE79" s="131"/>
      <c r="OF79" s="131"/>
      <c r="OG79" s="131"/>
      <c r="OH79" s="132"/>
    </row>
    <row r="80" spans="1:398" x14ac:dyDescent="0.35">
      <c r="A80" s="102"/>
      <c r="B80" s="168">
        <f t="shared" si="8"/>
        <v>52</v>
      </c>
      <c r="C80" s="171" t="s">
        <v>903</v>
      </c>
      <c r="D80" s="124" t="s">
        <v>904</v>
      </c>
      <c r="E80" s="124" t="s">
        <v>750</v>
      </c>
      <c r="F80" s="125" t="s">
        <v>907</v>
      </c>
      <c r="G80" s="125" t="s">
        <v>740</v>
      </c>
      <c r="H80" s="125"/>
      <c r="I80" s="129">
        <v>0</v>
      </c>
      <c r="J80" s="129">
        <v>0</v>
      </c>
      <c r="K80" s="129">
        <v>0</v>
      </c>
      <c r="L80" s="129">
        <v>0</v>
      </c>
      <c r="M80" s="129">
        <v>0</v>
      </c>
      <c r="N80" s="129">
        <v>0</v>
      </c>
      <c r="O80" s="130">
        <f t="shared" si="47"/>
        <v>0</v>
      </c>
      <c r="P80" s="129">
        <v>0</v>
      </c>
      <c r="Q80" s="129">
        <v>0</v>
      </c>
      <c r="R80" s="129">
        <v>0</v>
      </c>
      <c r="S80" s="129">
        <v>0</v>
      </c>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c r="BM80" s="131"/>
      <c r="BN80" s="131"/>
      <c r="BO80" s="131"/>
      <c r="BP80" s="131"/>
      <c r="BQ80" s="131"/>
      <c r="BR80" s="131"/>
      <c r="BS80" s="131"/>
      <c r="BT80" s="131"/>
      <c r="BU80" s="131"/>
      <c r="BV80" s="131"/>
      <c r="BW80" s="131"/>
      <c r="BX80" s="131"/>
      <c r="BY80" s="131"/>
      <c r="BZ80" s="131"/>
      <c r="CA80" s="131"/>
      <c r="CB80" s="131"/>
      <c r="CC80" s="131"/>
      <c r="CD80" s="131"/>
      <c r="CE80" s="131"/>
      <c r="CF80" s="131"/>
      <c r="CG80" s="131"/>
      <c r="CH80" s="131"/>
      <c r="CI80" s="131"/>
      <c r="CJ80" s="131"/>
      <c r="CK80" s="131"/>
      <c r="CL80" s="131"/>
      <c r="CM80" s="131"/>
      <c r="CN80" s="131"/>
      <c r="CO80" s="131"/>
      <c r="CP80" s="131"/>
      <c r="CQ80" s="131"/>
      <c r="CR80" s="131"/>
      <c r="CS80" s="131"/>
      <c r="CT80" s="131"/>
      <c r="CU80" s="131"/>
      <c r="CV80" s="131"/>
      <c r="CW80" s="131"/>
      <c r="CX80" s="131"/>
      <c r="CY80" s="131"/>
      <c r="CZ80" s="131"/>
      <c r="DA80" s="131"/>
      <c r="DB80" s="131"/>
      <c r="DC80" s="131"/>
      <c r="DD80" s="131"/>
      <c r="DE80" s="131"/>
      <c r="DF80" s="131"/>
      <c r="DG80" s="131"/>
      <c r="DH80" s="131"/>
      <c r="DI80" s="131"/>
      <c r="DJ80" s="131"/>
      <c r="DK80" s="131"/>
      <c r="DL80" s="131"/>
      <c r="DM80" s="131"/>
      <c r="DN80" s="131"/>
      <c r="DO80" s="131"/>
      <c r="DP80" s="131"/>
      <c r="DQ80" s="131"/>
      <c r="DR80" s="131"/>
      <c r="DS80" s="131"/>
      <c r="DT80" s="131"/>
      <c r="DU80" s="131"/>
      <c r="DV80" s="131"/>
      <c r="DW80" s="131"/>
      <c r="DX80" s="131"/>
      <c r="DY80" s="131"/>
      <c r="DZ80" s="131"/>
      <c r="EA80" s="131"/>
      <c r="EB80" s="131"/>
      <c r="EC80" s="131"/>
      <c r="ED80" s="131"/>
      <c r="EE80" s="131"/>
      <c r="EF80" s="131"/>
      <c r="EG80" s="131"/>
      <c r="EH80" s="131"/>
      <c r="EI80" s="131"/>
      <c r="EJ80" s="131"/>
      <c r="EK80" s="131"/>
      <c r="EL80" s="131"/>
      <c r="EM80" s="131"/>
      <c r="EN80" s="131"/>
      <c r="EO80" s="131"/>
      <c r="EP80" s="131"/>
      <c r="EQ80" s="131"/>
      <c r="ER80" s="131"/>
      <c r="ES80" s="131"/>
      <c r="ET80" s="131"/>
      <c r="EU80" s="131"/>
      <c r="EV80" s="131"/>
      <c r="EW80" s="131"/>
      <c r="EX80" s="131"/>
      <c r="EY80" s="131"/>
      <c r="EZ80" s="131"/>
      <c r="FA80" s="131"/>
      <c r="FB80" s="131"/>
      <c r="FC80" s="131"/>
      <c r="FD80" s="131"/>
      <c r="FE80" s="131"/>
      <c r="FF80" s="131"/>
      <c r="FG80" s="131"/>
      <c r="FH80" s="131"/>
      <c r="FI80" s="131"/>
      <c r="FJ80" s="131"/>
      <c r="FK80" s="131"/>
      <c r="FL80" s="131"/>
      <c r="FM80" s="131"/>
      <c r="FN80" s="131"/>
      <c r="FO80" s="131"/>
      <c r="FP80" s="131"/>
      <c r="FQ80" s="131"/>
      <c r="FR80" s="131"/>
      <c r="FS80" s="131"/>
      <c r="FT80" s="131"/>
      <c r="FU80" s="131"/>
      <c r="FV80" s="131"/>
      <c r="FW80" s="131"/>
      <c r="FX80" s="131"/>
      <c r="FY80" s="131"/>
      <c r="FZ80" s="131"/>
      <c r="GA80" s="131"/>
      <c r="GB80" s="131"/>
      <c r="GC80" s="131"/>
      <c r="GD80" s="131"/>
      <c r="GE80" s="131"/>
      <c r="GF80" s="131"/>
      <c r="GG80" s="131"/>
      <c r="GH80" s="131"/>
      <c r="GI80" s="131"/>
      <c r="GJ80" s="131"/>
      <c r="GK80" s="131"/>
      <c r="GL80" s="131"/>
      <c r="GM80" s="131"/>
      <c r="GN80" s="131"/>
      <c r="GO80" s="131"/>
      <c r="GP80" s="131"/>
      <c r="GQ80" s="131"/>
      <c r="GR80" s="131"/>
      <c r="GS80" s="131"/>
      <c r="GT80" s="131"/>
      <c r="GU80" s="131"/>
      <c r="GV80" s="131"/>
      <c r="GW80" s="131"/>
      <c r="GX80" s="131"/>
      <c r="GY80" s="131"/>
      <c r="GZ80" s="131"/>
      <c r="HA80" s="131"/>
      <c r="HB80" s="131"/>
      <c r="HC80" s="131"/>
      <c r="HD80" s="131"/>
      <c r="HE80" s="131"/>
      <c r="HF80" s="131"/>
      <c r="HG80" s="131"/>
      <c r="HH80" s="131"/>
      <c r="HI80" s="131"/>
      <c r="HJ80" s="131"/>
      <c r="HK80" s="131"/>
      <c r="HL80" s="131"/>
      <c r="HM80" s="131"/>
      <c r="HN80" s="131"/>
      <c r="HO80" s="131"/>
      <c r="HP80" s="131"/>
      <c r="HQ80" s="131"/>
      <c r="HR80" s="131"/>
      <c r="HS80" s="131"/>
      <c r="HT80" s="131"/>
      <c r="HU80" s="131"/>
      <c r="HV80" s="131"/>
      <c r="HW80" s="131"/>
      <c r="HX80" s="131"/>
      <c r="HY80" s="131"/>
      <c r="HZ80" s="131"/>
      <c r="IA80" s="131"/>
      <c r="IB80" s="131"/>
      <c r="IC80" s="131"/>
      <c r="ID80" s="131"/>
      <c r="IE80" s="131"/>
      <c r="IF80" s="131"/>
      <c r="IG80" s="131"/>
      <c r="IH80" s="131"/>
      <c r="II80" s="131"/>
      <c r="IJ80" s="131"/>
      <c r="IK80" s="131"/>
      <c r="IL80" s="131"/>
      <c r="IM80" s="131"/>
      <c r="IN80" s="131"/>
      <c r="IO80" s="131"/>
      <c r="IP80" s="131"/>
      <c r="IQ80" s="131"/>
      <c r="IR80" s="131"/>
      <c r="IS80" s="131"/>
      <c r="IT80" s="131"/>
      <c r="IU80" s="131"/>
      <c r="IV80" s="131"/>
      <c r="IW80" s="131"/>
      <c r="IX80" s="131"/>
      <c r="IY80" s="131"/>
      <c r="IZ80" s="131"/>
      <c r="JA80" s="131"/>
      <c r="JB80" s="131"/>
      <c r="JC80" s="131"/>
      <c r="JD80" s="131"/>
      <c r="JE80" s="131"/>
      <c r="JF80" s="131"/>
      <c r="JG80" s="131"/>
      <c r="JH80" s="131"/>
      <c r="JI80" s="131"/>
      <c r="JJ80" s="131"/>
      <c r="JK80" s="131"/>
      <c r="JL80" s="131"/>
      <c r="JM80" s="131"/>
      <c r="JN80" s="131"/>
      <c r="JO80" s="131"/>
      <c r="JP80" s="131"/>
      <c r="JQ80" s="131"/>
      <c r="JR80" s="131"/>
      <c r="JS80" s="131"/>
      <c r="JT80" s="131"/>
      <c r="JU80" s="131"/>
      <c r="JV80" s="131"/>
      <c r="JW80" s="131"/>
      <c r="JX80" s="131"/>
      <c r="JY80" s="131"/>
      <c r="JZ80" s="131"/>
      <c r="KA80" s="131"/>
      <c r="KB80" s="131"/>
      <c r="KC80" s="131"/>
      <c r="KD80" s="131"/>
      <c r="KE80" s="131"/>
      <c r="KF80" s="131"/>
      <c r="KG80" s="131"/>
      <c r="KH80" s="131"/>
      <c r="KI80" s="131"/>
      <c r="KJ80" s="131"/>
      <c r="KK80" s="131"/>
      <c r="KL80" s="131"/>
      <c r="KM80" s="131"/>
      <c r="KN80" s="131"/>
      <c r="KO80" s="131"/>
      <c r="KP80" s="131"/>
      <c r="KQ80" s="131"/>
      <c r="KR80" s="131"/>
      <c r="KS80" s="131"/>
      <c r="KT80" s="131"/>
      <c r="KU80" s="131"/>
      <c r="KV80" s="131"/>
      <c r="KW80" s="131"/>
      <c r="KX80" s="131"/>
      <c r="KY80" s="131"/>
      <c r="KZ80" s="131"/>
      <c r="LA80" s="131"/>
      <c r="LB80" s="131"/>
      <c r="LC80" s="131"/>
      <c r="LD80" s="131"/>
      <c r="LE80" s="131"/>
      <c r="LF80" s="131"/>
      <c r="LG80" s="131"/>
      <c r="LH80" s="131"/>
      <c r="LI80" s="131"/>
      <c r="LJ80" s="131"/>
      <c r="LK80" s="131"/>
      <c r="LL80" s="131"/>
      <c r="LM80" s="131"/>
      <c r="LN80" s="131"/>
      <c r="LO80" s="131"/>
      <c r="LP80" s="131"/>
      <c r="LQ80" s="131"/>
      <c r="LR80" s="131"/>
      <c r="LS80" s="131"/>
      <c r="LT80" s="131"/>
      <c r="LU80" s="131"/>
      <c r="LV80" s="131"/>
      <c r="LW80" s="131"/>
      <c r="LX80" s="131"/>
      <c r="LY80" s="131"/>
      <c r="LZ80" s="131"/>
      <c r="MA80" s="131"/>
      <c r="MB80" s="131"/>
      <c r="MC80" s="131"/>
      <c r="MD80" s="131"/>
      <c r="ME80" s="131"/>
      <c r="MF80" s="131"/>
      <c r="MG80" s="131"/>
      <c r="MH80" s="131"/>
      <c r="MI80" s="131"/>
      <c r="MJ80" s="131"/>
      <c r="MK80" s="131"/>
      <c r="ML80" s="131"/>
      <c r="MM80" s="131"/>
      <c r="MN80" s="131"/>
      <c r="MO80" s="131"/>
      <c r="MP80" s="131"/>
      <c r="MQ80" s="131"/>
      <c r="MR80" s="131"/>
      <c r="MS80" s="131"/>
      <c r="MT80" s="131"/>
      <c r="MU80" s="131"/>
      <c r="MV80" s="131"/>
      <c r="MW80" s="131"/>
      <c r="MX80" s="131"/>
      <c r="MY80" s="131"/>
      <c r="MZ80" s="131"/>
      <c r="NA80" s="131"/>
      <c r="NB80" s="131"/>
      <c r="NC80" s="131"/>
      <c r="ND80" s="131"/>
      <c r="NE80" s="131"/>
      <c r="NF80" s="131"/>
      <c r="NG80" s="131"/>
      <c r="NH80" s="131"/>
      <c r="NI80" s="131"/>
      <c r="NJ80" s="131"/>
      <c r="NK80" s="131"/>
      <c r="NL80" s="131"/>
      <c r="NM80" s="131"/>
      <c r="NN80" s="131"/>
      <c r="NO80" s="131"/>
      <c r="NP80" s="131"/>
      <c r="NQ80" s="131"/>
      <c r="NR80" s="131"/>
      <c r="NS80" s="131"/>
      <c r="NT80" s="131"/>
      <c r="NU80" s="131"/>
      <c r="NV80" s="131"/>
      <c r="NW80" s="131"/>
      <c r="NX80" s="131"/>
      <c r="NY80" s="131"/>
      <c r="NZ80" s="131"/>
      <c r="OA80" s="131"/>
      <c r="OB80" s="131"/>
      <c r="OC80" s="131"/>
      <c r="OD80" s="131"/>
      <c r="OE80" s="131"/>
      <c r="OF80" s="131"/>
      <c r="OG80" s="131"/>
      <c r="OH80" s="132"/>
    </row>
    <row r="81" spans="1:398" x14ac:dyDescent="0.35">
      <c r="A81" s="102"/>
      <c r="B81" s="168">
        <f t="shared" si="8"/>
        <v>53</v>
      </c>
      <c r="C81" s="171" t="s">
        <v>903</v>
      </c>
      <c r="D81" s="124" t="s">
        <v>904</v>
      </c>
      <c r="E81" s="124" t="s">
        <v>750</v>
      </c>
      <c r="F81" s="125" t="s">
        <v>907</v>
      </c>
      <c r="G81" s="125" t="s">
        <v>741</v>
      </c>
      <c r="H81" s="125"/>
      <c r="I81" s="129">
        <v>0</v>
      </c>
      <c r="J81" s="129">
        <v>0</v>
      </c>
      <c r="K81" s="129">
        <v>0</v>
      </c>
      <c r="L81" s="129">
        <v>0</v>
      </c>
      <c r="M81" s="129">
        <v>0</v>
      </c>
      <c r="N81" s="129">
        <v>0</v>
      </c>
      <c r="O81" s="130">
        <f t="shared" si="47"/>
        <v>0</v>
      </c>
      <c r="P81" s="129">
        <v>0</v>
      </c>
      <c r="Q81" s="129">
        <v>0</v>
      </c>
      <c r="R81" s="129">
        <v>0</v>
      </c>
      <c r="S81" s="129">
        <v>0</v>
      </c>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c r="AP81" s="131"/>
      <c r="AQ81" s="131"/>
      <c r="AR81" s="131"/>
      <c r="AS81" s="131"/>
      <c r="AT81" s="131"/>
      <c r="AU81" s="131"/>
      <c r="AV81" s="131"/>
      <c r="AW81" s="131"/>
      <c r="AX81" s="131"/>
      <c r="AY81" s="131"/>
      <c r="AZ81" s="131"/>
      <c r="BA81" s="131"/>
      <c r="BB81" s="131"/>
      <c r="BC81" s="131"/>
      <c r="BD81" s="131"/>
      <c r="BE81" s="131"/>
      <c r="BF81" s="131"/>
      <c r="BG81" s="131"/>
      <c r="BH81" s="131"/>
      <c r="BI81" s="131"/>
      <c r="BJ81" s="131"/>
      <c r="BK81" s="131"/>
      <c r="BL81" s="131"/>
      <c r="BM81" s="131"/>
      <c r="BN81" s="131"/>
      <c r="BO81" s="131"/>
      <c r="BP81" s="131"/>
      <c r="BQ81" s="131"/>
      <c r="BR81" s="131"/>
      <c r="BS81" s="131"/>
      <c r="BT81" s="131"/>
      <c r="BU81" s="131"/>
      <c r="BV81" s="131"/>
      <c r="BW81" s="131"/>
      <c r="BX81" s="131"/>
      <c r="BY81" s="131"/>
      <c r="BZ81" s="131"/>
      <c r="CA81" s="131"/>
      <c r="CB81" s="131"/>
      <c r="CC81" s="131"/>
      <c r="CD81" s="131"/>
      <c r="CE81" s="131"/>
      <c r="CF81" s="131"/>
      <c r="CG81" s="131"/>
      <c r="CH81" s="131"/>
      <c r="CI81" s="131"/>
      <c r="CJ81" s="131"/>
      <c r="CK81" s="131"/>
      <c r="CL81" s="131"/>
      <c r="CM81" s="131"/>
      <c r="CN81" s="131"/>
      <c r="CO81" s="131"/>
      <c r="CP81" s="131"/>
      <c r="CQ81" s="131"/>
      <c r="CR81" s="131"/>
      <c r="CS81" s="131"/>
      <c r="CT81" s="131"/>
      <c r="CU81" s="131"/>
      <c r="CV81" s="131"/>
      <c r="CW81" s="131"/>
      <c r="CX81" s="131"/>
      <c r="CY81" s="131"/>
      <c r="CZ81" s="131"/>
      <c r="DA81" s="131"/>
      <c r="DB81" s="131"/>
      <c r="DC81" s="131"/>
      <c r="DD81" s="131"/>
      <c r="DE81" s="131"/>
      <c r="DF81" s="131"/>
      <c r="DG81" s="131"/>
      <c r="DH81" s="131"/>
      <c r="DI81" s="131"/>
      <c r="DJ81" s="131"/>
      <c r="DK81" s="131"/>
      <c r="DL81" s="131"/>
      <c r="DM81" s="131"/>
      <c r="DN81" s="131"/>
      <c r="DO81" s="131"/>
      <c r="DP81" s="131"/>
      <c r="DQ81" s="131"/>
      <c r="DR81" s="131"/>
      <c r="DS81" s="131"/>
      <c r="DT81" s="131"/>
      <c r="DU81" s="131"/>
      <c r="DV81" s="131"/>
      <c r="DW81" s="131"/>
      <c r="DX81" s="131"/>
      <c r="DY81" s="131"/>
      <c r="DZ81" s="131"/>
      <c r="EA81" s="131"/>
      <c r="EB81" s="131"/>
      <c r="EC81" s="131"/>
      <c r="ED81" s="131"/>
      <c r="EE81" s="131"/>
      <c r="EF81" s="131"/>
      <c r="EG81" s="131"/>
      <c r="EH81" s="131"/>
      <c r="EI81" s="131"/>
      <c r="EJ81" s="131"/>
      <c r="EK81" s="131"/>
      <c r="EL81" s="131"/>
      <c r="EM81" s="131"/>
      <c r="EN81" s="131"/>
      <c r="EO81" s="131"/>
      <c r="EP81" s="131"/>
      <c r="EQ81" s="131"/>
      <c r="ER81" s="131"/>
      <c r="ES81" s="131"/>
      <c r="ET81" s="131"/>
      <c r="EU81" s="131"/>
      <c r="EV81" s="131"/>
      <c r="EW81" s="131"/>
      <c r="EX81" s="131"/>
      <c r="EY81" s="131"/>
      <c r="EZ81" s="131"/>
      <c r="FA81" s="131"/>
      <c r="FB81" s="131"/>
      <c r="FC81" s="131"/>
      <c r="FD81" s="131"/>
      <c r="FE81" s="131"/>
      <c r="FF81" s="131"/>
      <c r="FG81" s="131"/>
      <c r="FH81" s="131"/>
      <c r="FI81" s="131"/>
      <c r="FJ81" s="131"/>
      <c r="FK81" s="131"/>
      <c r="FL81" s="131"/>
      <c r="FM81" s="131"/>
      <c r="FN81" s="131"/>
      <c r="FO81" s="131"/>
      <c r="FP81" s="131"/>
      <c r="FQ81" s="131"/>
      <c r="FR81" s="131"/>
      <c r="FS81" s="131"/>
      <c r="FT81" s="131"/>
      <c r="FU81" s="131"/>
      <c r="FV81" s="131"/>
      <c r="FW81" s="131"/>
      <c r="FX81" s="131"/>
      <c r="FY81" s="131"/>
      <c r="FZ81" s="131"/>
      <c r="GA81" s="131"/>
      <c r="GB81" s="131"/>
      <c r="GC81" s="131"/>
      <c r="GD81" s="131"/>
      <c r="GE81" s="131"/>
      <c r="GF81" s="131"/>
      <c r="GG81" s="131"/>
      <c r="GH81" s="131"/>
      <c r="GI81" s="131"/>
      <c r="GJ81" s="131"/>
      <c r="GK81" s="131"/>
      <c r="GL81" s="131"/>
      <c r="GM81" s="131"/>
      <c r="GN81" s="131"/>
      <c r="GO81" s="131"/>
      <c r="GP81" s="131"/>
      <c r="GQ81" s="131"/>
      <c r="GR81" s="131"/>
      <c r="GS81" s="131"/>
      <c r="GT81" s="131"/>
      <c r="GU81" s="131"/>
      <c r="GV81" s="131"/>
      <c r="GW81" s="131"/>
      <c r="GX81" s="131"/>
      <c r="GY81" s="131"/>
      <c r="GZ81" s="131"/>
      <c r="HA81" s="131"/>
      <c r="HB81" s="131"/>
      <c r="HC81" s="131"/>
      <c r="HD81" s="131"/>
      <c r="HE81" s="131"/>
      <c r="HF81" s="131"/>
      <c r="HG81" s="131"/>
      <c r="HH81" s="131"/>
      <c r="HI81" s="131"/>
      <c r="HJ81" s="131"/>
      <c r="HK81" s="131"/>
      <c r="HL81" s="131"/>
      <c r="HM81" s="131"/>
      <c r="HN81" s="131"/>
      <c r="HO81" s="131"/>
      <c r="HP81" s="131"/>
      <c r="HQ81" s="131"/>
      <c r="HR81" s="131"/>
      <c r="HS81" s="131"/>
      <c r="HT81" s="131"/>
      <c r="HU81" s="131"/>
      <c r="HV81" s="131"/>
      <c r="HW81" s="131"/>
      <c r="HX81" s="131"/>
      <c r="HY81" s="131"/>
      <c r="HZ81" s="131"/>
      <c r="IA81" s="131"/>
      <c r="IB81" s="131"/>
      <c r="IC81" s="131"/>
      <c r="ID81" s="131"/>
      <c r="IE81" s="131"/>
      <c r="IF81" s="131"/>
      <c r="IG81" s="131"/>
      <c r="IH81" s="131"/>
      <c r="II81" s="131"/>
      <c r="IJ81" s="131"/>
      <c r="IK81" s="131"/>
      <c r="IL81" s="131"/>
      <c r="IM81" s="131"/>
      <c r="IN81" s="131"/>
      <c r="IO81" s="131"/>
      <c r="IP81" s="131"/>
      <c r="IQ81" s="131"/>
      <c r="IR81" s="131"/>
      <c r="IS81" s="131"/>
      <c r="IT81" s="131"/>
      <c r="IU81" s="131"/>
      <c r="IV81" s="131"/>
      <c r="IW81" s="131"/>
      <c r="IX81" s="131"/>
      <c r="IY81" s="131"/>
      <c r="IZ81" s="131"/>
      <c r="JA81" s="131"/>
      <c r="JB81" s="131"/>
      <c r="JC81" s="131"/>
      <c r="JD81" s="131"/>
      <c r="JE81" s="131"/>
      <c r="JF81" s="131"/>
      <c r="JG81" s="131"/>
      <c r="JH81" s="131"/>
      <c r="JI81" s="131"/>
      <c r="JJ81" s="131"/>
      <c r="JK81" s="131"/>
      <c r="JL81" s="131"/>
      <c r="JM81" s="131"/>
      <c r="JN81" s="131"/>
      <c r="JO81" s="131"/>
      <c r="JP81" s="131"/>
      <c r="JQ81" s="131"/>
      <c r="JR81" s="131"/>
      <c r="JS81" s="131"/>
      <c r="JT81" s="131"/>
      <c r="JU81" s="131"/>
      <c r="JV81" s="131"/>
      <c r="JW81" s="131"/>
      <c r="JX81" s="131"/>
      <c r="JY81" s="131"/>
      <c r="JZ81" s="131"/>
      <c r="KA81" s="131"/>
      <c r="KB81" s="131"/>
      <c r="KC81" s="131"/>
      <c r="KD81" s="131"/>
      <c r="KE81" s="131"/>
      <c r="KF81" s="131"/>
      <c r="KG81" s="131"/>
      <c r="KH81" s="131"/>
      <c r="KI81" s="131"/>
      <c r="KJ81" s="131"/>
      <c r="KK81" s="131"/>
      <c r="KL81" s="131"/>
      <c r="KM81" s="131"/>
      <c r="KN81" s="131"/>
      <c r="KO81" s="131"/>
      <c r="KP81" s="131"/>
      <c r="KQ81" s="131"/>
      <c r="KR81" s="131"/>
      <c r="KS81" s="131"/>
      <c r="KT81" s="131"/>
      <c r="KU81" s="131"/>
      <c r="KV81" s="131"/>
      <c r="KW81" s="131"/>
      <c r="KX81" s="131"/>
      <c r="KY81" s="131"/>
      <c r="KZ81" s="131"/>
      <c r="LA81" s="131"/>
      <c r="LB81" s="131"/>
      <c r="LC81" s="131"/>
      <c r="LD81" s="131"/>
      <c r="LE81" s="131"/>
      <c r="LF81" s="131"/>
      <c r="LG81" s="131"/>
      <c r="LH81" s="131"/>
      <c r="LI81" s="131"/>
      <c r="LJ81" s="131"/>
      <c r="LK81" s="131"/>
      <c r="LL81" s="131"/>
      <c r="LM81" s="131"/>
      <c r="LN81" s="131"/>
      <c r="LO81" s="131"/>
      <c r="LP81" s="131"/>
      <c r="LQ81" s="131"/>
      <c r="LR81" s="131"/>
      <c r="LS81" s="131"/>
      <c r="LT81" s="131"/>
      <c r="LU81" s="131"/>
      <c r="LV81" s="131"/>
      <c r="LW81" s="131"/>
      <c r="LX81" s="131"/>
      <c r="LY81" s="131"/>
      <c r="LZ81" s="131"/>
      <c r="MA81" s="131"/>
      <c r="MB81" s="131"/>
      <c r="MC81" s="131"/>
      <c r="MD81" s="131"/>
      <c r="ME81" s="131"/>
      <c r="MF81" s="131"/>
      <c r="MG81" s="131"/>
      <c r="MH81" s="131"/>
      <c r="MI81" s="131"/>
      <c r="MJ81" s="131"/>
      <c r="MK81" s="131"/>
      <c r="ML81" s="131"/>
      <c r="MM81" s="131"/>
      <c r="MN81" s="131"/>
      <c r="MO81" s="131"/>
      <c r="MP81" s="131"/>
      <c r="MQ81" s="131"/>
      <c r="MR81" s="131"/>
      <c r="MS81" s="131"/>
      <c r="MT81" s="131"/>
      <c r="MU81" s="131"/>
      <c r="MV81" s="131"/>
      <c r="MW81" s="131"/>
      <c r="MX81" s="131"/>
      <c r="MY81" s="131"/>
      <c r="MZ81" s="131"/>
      <c r="NA81" s="131"/>
      <c r="NB81" s="131"/>
      <c r="NC81" s="131"/>
      <c r="ND81" s="131"/>
      <c r="NE81" s="131"/>
      <c r="NF81" s="131"/>
      <c r="NG81" s="131"/>
      <c r="NH81" s="131"/>
      <c r="NI81" s="131"/>
      <c r="NJ81" s="131"/>
      <c r="NK81" s="131"/>
      <c r="NL81" s="131"/>
      <c r="NM81" s="131"/>
      <c r="NN81" s="131"/>
      <c r="NO81" s="131"/>
      <c r="NP81" s="131"/>
      <c r="NQ81" s="131"/>
      <c r="NR81" s="131"/>
      <c r="NS81" s="131"/>
      <c r="NT81" s="131"/>
      <c r="NU81" s="131"/>
      <c r="NV81" s="131"/>
      <c r="NW81" s="131"/>
      <c r="NX81" s="131"/>
      <c r="NY81" s="131"/>
      <c r="NZ81" s="131"/>
      <c r="OA81" s="131"/>
      <c r="OB81" s="131"/>
      <c r="OC81" s="131"/>
      <c r="OD81" s="131"/>
      <c r="OE81" s="131"/>
      <c r="OF81" s="131"/>
      <c r="OG81" s="131"/>
      <c r="OH81" s="132"/>
    </row>
    <row r="82" spans="1:398" x14ac:dyDescent="0.35">
      <c r="A82" s="102"/>
      <c r="B82" s="168">
        <f t="shared" si="8"/>
        <v>54</v>
      </c>
      <c r="C82" s="171" t="s">
        <v>903</v>
      </c>
      <c r="D82" s="124" t="s">
        <v>904</v>
      </c>
      <c r="E82" s="124" t="s">
        <v>750</v>
      </c>
      <c r="F82" s="125" t="s">
        <v>907</v>
      </c>
      <c r="G82" s="125" t="s">
        <v>742</v>
      </c>
      <c r="H82" s="125"/>
      <c r="I82" s="129">
        <v>0</v>
      </c>
      <c r="J82" s="129">
        <v>0</v>
      </c>
      <c r="K82" s="129">
        <v>0</v>
      </c>
      <c r="L82" s="129">
        <v>0</v>
      </c>
      <c r="M82" s="129">
        <v>0</v>
      </c>
      <c r="N82" s="129">
        <v>0</v>
      </c>
      <c r="O82" s="130">
        <f t="shared" si="47"/>
        <v>0</v>
      </c>
      <c r="P82" s="129">
        <v>0</v>
      </c>
      <c r="Q82" s="129">
        <v>0</v>
      </c>
      <c r="R82" s="129">
        <v>0</v>
      </c>
      <c r="S82" s="129">
        <v>0</v>
      </c>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c r="BM82" s="131"/>
      <c r="BN82" s="131"/>
      <c r="BO82" s="131"/>
      <c r="BP82" s="131"/>
      <c r="BQ82" s="131"/>
      <c r="BR82" s="131"/>
      <c r="BS82" s="131"/>
      <c r="BT82" s="131"/>
      <c r="BU82" s="131"/>
      <c r="BV82" s="131"/>
      <c r="BW82" s="131"/>
      <c r="BX82" s="131"/>
      <c r="BY82" s="131"/>
      <c r="BZ82" s="131"/>
      <c r="CA82" s="131"/>
      <c r="CB82" s="131"/>
      <c r="CC82" s="131"/>
      <c r="CD82" s="131"/>
      <c r="CE82" s="131"/>
      <c r="CF82" s="131"/>
      <c r="CG82" s="131"/>
      <c r="CH82" s="131"/>
      <c r="CI82" s="131"/>
      <c r="CJ82" s="131"/>
      <c r="CK82" s="131"/>
      <c r="CL82" s="131"/>
      <c r="CM82" s="131"/>
      <c r="CN82" s="131"/>
      <c r="CO82" s="131"/>
      <c r="CP82" s="131"/>
      <c r="CQ82" s="131"/>
      <c r="CR82" s="131"/>
      <c r="CS82" s="131"/>
      <c r="CT82" s="131"/>
      <c r="CU82" s="131"/>
      <c r="CV82" s="131"/>
      <c r="CW82" s="131"/>
      <c r="CX82" s="131"/>
      <c r="CY82" s="131"/>
      <c r="CZ82" s="131"/>
      <c r="DA82" s="131"/>
      <c r="DB82" s="131"/>
      <c r="DC82" s="131"/>
      <c r="DD82" s="131"/>
      <c r="DE82" s="131"/>
      <c r="DF82" s="131"/>
      <c r="DG82" s="131"/>
      <c r="DH82" s="131"/>
      <c r="DI82" s="131"/>
      <c r="DJ82" s="131"/>
      <c r="DK82" s="131"/>
      <c r="DL82" s="131"/>
      <c r="DM82" s="131"/>
      <c r="DN82" s="131"/>
      <c r="DO82" s="131"/>
      <c r="DP82" s="131"/>
      <c r="DQ82" s="131"/>
      <c r="DR82" s="131"/>
      <c r="DS82" s="131"/>
      <c r="DT82" s="131"/>
      <c r="DU82" s="131"/>
      <c r="DV82" s="131"/>
      <c r="DW82" s="131"/>
      <c r="DX82" s="131"/>
      <c r="DY82" s="131"/>
      <c r="DZ82" s="131"/>
      <c r="EA82" s="131"/>
      <c r="EB82" s="131"/>
      <c r="EC82" s="131"/>
      <c r="ED82" s="131"/>
      <c r="EE82" s="131"/>
      <c r="EF82" s="131"/>
      <c r="EG82" s="131"/>
      <c r="EH82" s="131"/>
      <c r="EI82" s="131"/>
      <c r="EJ82" s="131"/>
      <c r="EK82" s="131"/>
      <c r="EL82" s="131"/>
      <c r="EM82" s="131"/>
      <c r="EN82" s="131"/>
      <c r="EO82" s="131"/>
      <c r="EP82" s="131"/>
      <c r="EQ82" s="131"/>
      <c r="ER82" s="131"/>
      <c r="ES82" s="131"/>
      <c r="ET82" s="131"/>
      <c r="EU82" s="131"/>
      <c r="EV82" s="131"/>
      <c r="EW82" s="131"/>
      <c r="EX82" s="131"/>
      <c r="EY82" s="131"/>
      <c r="EZ82" s="131"/>
      <c r="FA82" s="131"/>
      <c r="FB82" s="131"/>
      <c r="FC82" s="131"/>
      <c r="FD82" s="131"/>
      <c r="FE82" s="131"/>
      <c r="FF82" s="131"/>
      <c r="FG82" s="131"/>
      <c r="FH82" s="131"/>
      <c r="FI82" s="131"/>
      <c r="FJ82" s="131"/>
      <c r="FK82" s="131"/>
      <c r="FL82" s="131"/>
      <c r="FM82" s="131"/>
      <c r="FN82" s="131"/>
      <c r="FO82" s="131"/>
      <c r="FP82" s="131"/>
      <c r="FQ82" s="131"/>
      <c r="FR82" s="131"/>
      <c r="FS82" s="131"/>
      <c r="FT82" s="131"/>
      <c r="FU82" s="131"/>
      <c r="FV82" s="131"/>
      <c r="FW82" s="131"/>
      <c r="FX82" s="131"/>
      <c r="FY82" s="131"/>
      <c r="FZ82" s="131"/>
      <c r="GA82" s="131"/>
      <c r="GB82" s="131"/>
      <c r="GC82" s="131"/>
      <c r="GD82" s="131"/>
      <c r="GE82" s="131"/>
      <c r="GF82" s="131"/>
      <c r="GG82" s="131"/>
      <c r="GH82" s="131"/>
      <c r="GI82" s="131"/>
      <c r="GJ82" s="131"/>
      <c r="GK82" s="131"/>
      <c r="GL82" s="131"/>
      <c r="GM82" s="131"/>
      <c r="GN82" s="131"/>
      <c r="GO82" s="131"/>
      <c r="GP82" s="131"/>
      <c r="GQ82" s="131"/>
      <c r="GR82" s="131"/>
      <c r="GS82" s="131"/>
      <c r="GT82" s="131"/>
      <c r="GU82" s="131"/>
      <c r="GV82" s="131"/>
      <c r="GW82" s="131"/>
      <c r="GX82" s="131"/>
      <c r="GY82" s="131"/>
      <c r="GZ82" s="131"/>
      <c r="HA82" s="131"/>
      <c r="HB82" s="131"/>
      <c r="HC82" s="131"/>
      <c r="HD82" s="131"/>
      <c r="HE82" s="131"/>
      <c r="HF82" s="131"/>
      <c r="HG82" s="131"/>
      <c r="HH82" s="131"/>
      <c r="HI82" s="131"/>
      <c r="HJ82" s="131"/>
      <c r="HK82" s="131"/>
      <c r="HL82" s="131"/>
      <c r="HM82" s="131"/>
      <c r="HN82" s="131"/>
      <c r="HO82" s="131"/>
      <c r="HP82" s="131"/>
      <c r="HQ82" s="131"/>
      <c r="HR82" s="131"/>
      <c r="HS82" s="131"/>
      <c r="HT82" s="131"/>
      <c r="HU82" s="131"/>
      <c r="HV82" s="131"/>
      <c r="HW82" s="131"/>
      <c r="HX82" s="131"/>
      <c r="HY82" s="131"/>
      <c r="HZ82" s="131"/>
      <c r="IA82" s="131"/>
      <c r="IB82" s="131"/>
      <c r="IC82" s="131"/>
      <c r="ID82" s="131"/>
      <c r="IE82" s="131"/>
      <c r="IF82" s="131"/>
      <c r="IG82" s="131"/>
      <c r="IH82" s="131"/>
      <c r="II82" s="131"/>
      <c r="IJ82" s="131"/>
      <c r="IK82" s="131"/>
      <c r="IL82" s="131"/>
      <c r="IM82" s="131"/>
      <c r="IN82" s="131"/>
      <c r="IO82" s="131"/>
      <c r="IP82" s="131"/>
      <c r="IQ82" s="131"/>
      <c r="IR82" s="131"/>
      <c r="IS82" s="131"/>
      <c r="IT82" s="131"/>
      <c r="IU82" s="131"/>
      <c r="IV82" s="131"/>
      <c r="IW82" s="131"/>
      <c r="IX82" s="131"/>
      <c r="IY82" s="131"/>
      <c r="IZ82" s="131"/>
      <c r="JA82" s="131"/>
      <c r="JB82" s="131"/>
      <c r="JC82" s="131"/>
      <c r="JD82" s="131"/>
      <c r="JE82" s="131"/>
      <c r="JF82" s="131"/>
      <c r="JG82" s="131"/>
      <c r="JH82" s="131"/>
      <c r="JI82" s="131"/>
      <c r="JJ82" s="131"/>
      <c r="JK82" s="131"/>
      <c r="JL82" s="131"/>
      <c r="JM82" s="131"/>
      <c r="JN82" s="131"/>
      <c r="JO82" s="131"/>
      <c r="JP82" s="131"/>
      <c r="JQ82" s="131"/>
      <c r="JR82" s="131"/>
      <c r="JS82" s="131"/>
      <c r="JT82" s="131"/>
      <c r="JU82" s="131"/>
      <c r="JV82" s="131"/>
      <c r="JW82" s="131"/>
      <c r="JX82" s="131"/>
      <c r="JY82" s="131"/>
      <c r="JZ82" s="131"/>
      <c r="KA82" s="131"/>
      <c r="KB82" s="131"/>
      <c r="KC82" s="131"/>
      <c r="KD82" s="131"/>
      <c r="KE82" s="131"/>
      <c r="KF82" s="131"/>
      <c r="KG82" s="131"/>
      <c r="KH82" s="131"/>
      <c r="KI82" s="131"/>
      <c r="KJ82" s="131"/>
      <c r="KK82" s="131"/>
      <c r="KL82" s="131"/>
      <c r="KM82" s="131"/>
      <c r="KN82" s="131"/>
      <c r="KO82" s="131"/>
      <c r="KP82" s="131"/>
      <c r="KQ82" s="131"/>
      <c r="KR82" s="131"/>
      <c r="KS82" s="131"/>
      <c r="KT82" s="131"/>
      <c r="KU82" s="131"/>
      <c r="KV82" s="131"/>
      <c r="KW82" s="131"/>
      <c r="KX82" s="131"/>
      <c r="KY82" s="131"/>
      <c r="KZ82" s="131"/>
      <c r="LA82" s="131"/>
      <c r="LB82" s="131"/>
      <c r="LC82" s="131"/>
      <c r="LD82" s="131"/>
      <c r="LE82" s="131"/>
      <c r="LF82" s="131"/>
      <c r="LG82" s="131"/>
      <c r="LH82" s="131"/>
      <c r="LI82" s="131"/>
      <c r="LJ82" s="131"/>
      <c r="LK82" s="131"/>
      <c r="LL82" s="131"/>
      <c r="LM82" s="131"/>
      <c r="LN82" s="131"/>
      <c r="LO82" s="131"/>
      <c r="LP82" s="131"/>
      <c r="LQ82" s="131"/>
      <c r="LR82" s="131"/>
      <c r="LS82" s="131"/>
      <c r="LT82" s="131"/>
      <c r="LU82" s="131"/>
      <c r="LV82" s="131"/>
      <c r="LW82" s="131"/>
      <c r="LX82" s="131"/>
      <c r="LY82" s="131"/>
      <c r="LZ82" s="131"/>
      <c r="MA82" s="131"/>
      <c r="MB82" s="131"/>
      <c r="MC82" s="131"/>
      <c r="MD82" s="131"/>
      <c r="ME82" s="131"/>
      <c r="MF82" s="131"/>
      <c r="MG82" s="131"/>
      <c r="MH82" s="131"/>
      <c r="MI82" s="131"/>
      <c r="MJ82" s="131"/>
      <c r="MK82" s="131"/>
      <c r="ML82" s="131"/>
      <c r="MM82" s="131"/>
      <c r="MN82" s="131"/>
      <c r="MO82" s="131"/>
      <c r="MP82" s="131"/>
      <c r="MQ82" s="131"/>
      <c r="MR82" s="131"/>
      <c r="MS82" s="131"/>
      <c r="MT82" s="131"/>
      <c r="MU82" s="131"/>
      <c r="MV82" s="131"/>
      <c r="MW82" s="131"/>
      <c r="MX82" s="131"/>
      <c r="MY82" s="131"/>
      <c r="MZ82" s="131"/>
      <c r="NA82" s="131"/>
      <c r="NB82" s="131"/>
      <c r="NC82" s="131"/>
      <c r="ND82" s="131"/>
      <c r="NE82" s="131"/>
      <c r="NF82" s="131"/>
      <c r="NG82" s="131"/>
      <c r="NH82" s="131"/>
      <c r="NI82" s="131"/>
      <c r="NJ82" s="131"/>
      <c r="NK82" s="131"/>
      <c r="NL82" s="131"/>
      <c r="NM82" s="131"/>
      <c r="NN82" s="131"/>
      <c r="NO82" s="131"/>
      <c r="NP82" s="131"/>
      <c r="NQ82" s="131"/>
      <c r="NR82" s="131"/>
      <c r="NS82" s="131"/>
      <c r="NT82" s="131"/>
      <c r="NU82" s="131"/>
      <c r="NV82" s="131"/>
      <c r="NW82" s="131"/>
      <c r="NX82" s="131"/>
      <c r="NY82" s="131"/>
      <c r="NZ82" s="131"/>
      <c r="OA82" s="131"/>
      <c r="OB82" s="131"/>
      <c r="OC82" s="131"/>
      <c r="OD82" s="131"/>
      <c r="OE82" s="131"/>
      <c r="OF82" s="131"/>
      <c r="OG82" s="131"/>
      <c r="OH82" s="132"/>
    </row>
    <row r="83" spans="1:398" x14ac:dyDescent="0.35">
      <c r="A83" s="102"/>
      <c r="B83" s="168">
        <f t="shared" si="8"/>
        <v>55</v>
      </c>
      <c r="C83" s="171" t="s">
        <v>903</v>
      </c>
      <c r="D83" s="124" t="s">
        <v>904</v>
      </c>
      <c r="E83" s="124" t="s">
        <v>750</v>
      </c>
      <c r="F83" s="125" t="s">
        <v>907</v>
      </c>
      <c r="G83" s="125" t="s">
        <v>743</v>
      </c>
      <c r="H83" s="125"/>
      <c r="I83" s="129">
        <v>0</v>
      </c>
      <c r="J83" s="129">
        <v>0</v>
      </c>
      <c r="K83" s="129">
        <v>0</v>
      </c>
      <c r="L83" s="129">
        <v>0</v>
      </c>
      <c r="M83" s="129">
        <v>0</v>
      </c>
      <c r="N83" s="129">
        <v>0</v>
      </c>
      <c r="O83" s="130">
        <f t="shared" si="47"/>
        <v>0</v>
      </c>
      <c r="P83" s="129">
        <v>0</v>
      </c>
      <c r="Q83" s="129">
        <v>0</v>
      </c>
      <c r="R83" s="129">
        <v>0</v>
      </c>
      <c r="S83" s="129">
        <v>0</v>
      </c>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1"/>
      <c r="AZ83" s="131"/>
      <c r="BA83" s="131"/>
      <c r="BB83" s="131"/>
      <c r="BC83" s="131"/>
      <c r="BD83" s="131"/>
      <c r="BE83" s="131"/>
      <c r="BF83" s="131"/>
      <c r="BG83" s="131"/>
      <c r="BH83" s="131"/>
      <c r="BI83" s="131"/>
      <c r="BJ83" s="131"/>
      <c r="BK83" s="131"/>
      <c r="BL83" s="131"/>
      <c r="BM83" s="131"/>
      <c r="BN83" s="131"/>
      <c r="BO83" s="131"/>
      <c r="BP83" s="131"/>
      <c r="BQ83" s="131"/>
      <c r="BR83" s="131"/>
      <c r="BS83" s="131"/>
      <c r="BT83" s="131"/>
      <c r="BU83" s="131"/>
      <c r="BV83" s="131"/>
      <c r="BW83" s="131"/>
      <c r="BX83" s="131"/>
      <c r="BY83" s="131"/>
      <c r="BZ83" s="131"/>
      <c r="CA83" s="131"/>
      <c r="CB83" s="131"/>
      <c r="CC83" s="131"/>
      <c r="CD83" s="131"/>
      <c r="CE83" s="131"/>
      <c r="CF83" s="131"/>
      <c r="CG83" s="131"/>
      <c r="CH83" s="131"/>
      <c r="CI83" s="131"/>
      <c r="CJ83" s="131"/>
      <c r="CK83" s="131"/>
      <c r="CL83" s="131"/>
      <c r="CM83" s="131"/>
      <c r="CN83" s="131"/>
      <c r="CO83" s="131"/>
      <c r="CP83" s="131"/>
      <c r="CQ83" s="131"/>
      <c r="CR83" s="131"/>
      <c r="CS83" s="131"/>
      <c r="CT83" s="131"/>
      <c r="CU83" s="131"/>
      <c r="CV83" s="131"/>
      <c r="CW83" s="131"/>
      <c r="CX83" s="131"/>
      <c r="CY83" s="131"/>
      <c r="CZ83" s="131"/>
      <c r="DA83" s="131"/>
      <c r="DB83" s="131"/>
      <c r="DC83" s="131"/>
      <c r="DD83" s="131"/>
      <c r="DE83" s="131"/>
      <c r="DF83" s="131"/>
      <c r="DG83" s="131"/>
      <c r="DH83" s="131"/>
      <c r="DI83" s="131"/>
      <c r="DJ83" s="131"/>
      <c r="DK83" s="131"/>
      <c r="DL83" s="131"/>
      <c r="DM83" s="131"/>
      <c r="DN83" s="131"/>
      <c r="DO83" s="131"/>
      <c r="DP83" s="131"/>
      <c r="DQ83" s="131"/>
      <c r="DR83" s="131"/>
      <c r="DS83" s="131"/>
      <c r="DT83" s="131"/>
      <c r="DU83" s="131"/>
      <c r="DV83" s="131"/>
      <c r="DW83" s="131"/>
      <c r="DX83" s="131"/>
      <c r="DY83" s="131"/>
      <c r="DZ83" s="131"/>
      <c r="EA83" s="131"/>
      <c r="EB83" s="131"/>
      <c r="EC83" s="131"/>
      <c r="ED83" s="131"/>
      <c r="EE83" s="131"/>
      <c r="EF83" s="131"/>
      <c r="EG83" s="131"/>
      <c r="EH83" s="131"/>
      <c r="EI83" s="131"/>
      <c r="EJ83" s="131"/>
      <c r="EK83" s="131"/>
      <c r="EL83" s="131"/>
      <c r="EM83" s="131"/>
      <c r="EN83" s="131"/>
      <c r="EO83" s="131"/>
      <c r="EP83" s="131"/>
      <c r="EQ83" s="131"/>
      <c r="ER83" s="131"/>
      <c r="ES83" s="131"/>
      <c r="ET83" s="131"/>
      <c r="EU83" s="131"/>
      <c r="EV83" s="131"/>
      <c r="EW83" s="131"/>
      <c r="EX83" s="131"/>
      <c r="EY83" s="131"/>
      <c r="EZ83" s="131"/>
      <c r="FA83" s="131"/>
      <c r="FB83" s="131"/>
      <c r="FC83" s="131"/>
      <c r="FD83" s="131"/>
      <c r="FE83" s="131"/>
      <c r="FF83" s="131"/>
      <c r="FG83" s="131"/>
      <c r="FH83" s="131"/>
      <c r="FI83" s="131"/>
      <c r="FJ83" s="131"/>
      <c r="FK83" s="131"/>
      <c r="FL83" s="131"/>
      <c r="FM83" s="131"/>
      <c r="FN83" s="131"/>
      <c r="FO83" s="131"/>
      <c r="FP83" s="131"/>
      <c r="FQ83" s="131"/>
      <c r="FR83" s="131"/>
      <c r="FS83" s="131"/>
      <c r="FT83" s="131"/>
      <c r="FU83" s="131"/>
      <c r="FV83" s="131"/>
      <c r="FW83" s="131"/>
      <c r="FX83" s="131"/>
      <c r="FY83" s="131"/>
      <c r="FZ83" s="131"/>
      <c r="GA83" s="131"/>
      <c r="GB83" s="131"/>
      <c r="GC83" s="131"/>
      <c r="GD83" s="131"/>
      <c r="GE83" s="131"/>
      <c r="GF83" s="131"/>
      <c r="GG83" s="131"/>
      <c r="GH83" s="131"/>
      <c r="GI83" s="131"/>
      <c r="GJ83" s="131"/>
      <c r="GK83" s="131"/>
      <c r="GL83" s="131"/>
      <c r="GM83" s="131"/>
      <c r="GN83" s="131"/>
      <c r="GO83" s="131"/>
      <c r="GP83" s="131"/>
      <c r="GQ83" s="131"/>
      <c r="GR83" s="131"/>
      <c r="GS83" s="131"/>
      <c r="GT83" s="131"/>
      <c r="GU83" s="131"/>
      <c r="GV83" s="131"/>
      <c r="GW83" s="131"/>
      <c r="GX83" s="131"/>
      <c r="GY83" s="131"/>
      <c r="GZ83" s="131"/>
      <c r="HA83" s="131"/>
      <c r="HB83" s="131"/>
      <c r="HC83" s="131"/>
      <c r="HD83" s="131"/>
      <c r="HE83" s="131"/>
      <c r="HF83" s="131"/>
      <c r="HG83" s="131"/>
      <c r="HH83" s="131"/>
      <c r="HI83" s="131"/>
      <c r="HJ83" s="131"/>
      <c r="HK83" s="131"/>
      <c r="HL83" s="131"/>
      <c r="HM83" s="131"/>
      <c r="HN83" s="131"/>
      <c r="HO83" s="131"/>
      <c r="HP83" s="131"/>
      <c r="HQ83" s="131"/>
      <c r="HR83" s="131"/>
      <c r="HS83" s="131"/>
      <c r="HT83" s="131"/>
      <c r="HU83" s="131"/>
      <c r="HV83" s="131"/>
      <c r="HW83" s="131"/>
      <c r="HX83" s="131"/>
      <c r="HY83" s="131"/>
      <c r="HZ83" s="131"/>
      <c r="IA83" s="131"/>
      <c r="IB83" s="131"/>
      <c r="IC83" s="131"/>
      <c r="ID83" s="131"/>
      <c r="IE83" s="131"/>
      <c r="IF83" s="131"/>
      <c r="IG83" s="131"/>
      <c r="IH83" s="131"/>
      <c r="II83" s="131"/>
      <c r="IJ83" s="131"/>
      <c r="IK83" s="131"/>
      <c r="IL83" s="131"/>
      <c r="IM83" s="131"/>
      <c r="IN83" s="131"/>
      <c r="IO83" s="131"/>
      <c r="IP83" s="131"/>
      <c r="IQ83" s="131"/>
      <c r="IR83" s="131"/>
      <c r="IS83" s="131"/>
      <c r="IT83" s="131"/>
      <c r="IU83" s="131"/>
      <c r="IV83" s="131"/>
      <c r="IW83" s="131"/>
      <c r="IX83" s="131"/>
      <c r="IY83" s="131"/>
      <c r="IZ83" s="131"/>
      <c r="JA83" s="131"/>
      <c r="JB83" s="131"/>
      <c r="JC83" s="131"/>
      <c r="JD83" s="131"/>
      <c r="JE83" s="131"/>
      <c r="JF83" s="131"/>
      <c r="JG83" s="131"/>
      <c r="JH83" s="131"/>
      <c r="JI83" s="131"/>
      <c r="JJ83" s="131"/>
      <c r="JK83" s="131"/>
      <c r="JL83" s="131"/>
      <c r="JM83" s="131"/>
      <c r="JN83" s="131"/>
      <c r="JO83" s="131"/>
      <c r="JP83" s="131"/>
      <c r="JQ83" s="131"/>
      <c r="JR83" s="131"/>
      <c r="JS83" s="131"/>
      <c r="JT83" s="131"/>
      <c r="JU83" s="131"/>
      <c r="JV83" s="131"/>
      <c r="JW83" s="131"/>
      <c r="JX83" s="131"/>
      <c r="JY83" s="131"/>
      <c r="JZ83" s="131"/>
      <c r="KA83" s="131"/>
      <c r="KB83" s="131"/>
      <c r="KC83" s="131"/>
      <c r="KD83" s="131"/>
      <c r="KE83" s="131"/>
      <c r="KF83" s="131"/>
      <c r="KG83" s="131"/>
      <c r="KH83" s="131"/>
      <c r="KI83" s="131"/>
      <c r="KJ83" s="131"/>
      <c r="KK83" s="131"/>
      <c r="KL83" s="131"/>
      <c r="KM83" s="131"/>
      <c r="KN83" s="131"/>
      <c r="KO83" s="131"/>
      <c r="KP83" s="131"/>
      <c r="KQ83" s="131"/>
      <c r="KR83" s="131"/>
      <c r="KS83" s="131"/>
      <c r="KT83" s="131"/>
      <c r="KU83" s="131"/>
      <c r="KV83" s="131"/>
      <c r="KW83" s="131"/>
      <c r="KX83" s="131"/>
      <c r="KY83" s="131"/>
      <c r="KZ83" s="131"/>
      <c r="LA83" s="131"/>
      <c r="LB83" s="131"/>
      <c r="LC83" s="131"/>
      <c r="LD83" s="131"/>
      <c r="LE83" s="131"/>
      <c r="LF83" s="131"/>
      <c r="LG83" s="131"/>
      <c r="LH83" s="131"/>
      <c r="LI83" s="131"/>
      <c r="LJ83" s="131"/>
      <c r="LK83" s="131"/>
      <c r="LL83" s="131"/>
      <c r="LM83" s="131"/>
      <c r="LN83" s="131"/>
      <c r="LO83" s="131"/>
      <c r="LP83" s="131"/>
      <c r="LQ83" s="131"/>
      <c r="LR83" s="131"/>
      <c r="LS83" s="131"/>
      <c r="LT83" s="131"/>
      <c r="LU83" s="131"/>
      <c r="LV83" s="131"/>
      <c r="LW83" s="131"/>
      <c r="LX83" s="131"/>
      <c r="LY83" s="131"/>
      <c r="LZ83" s="131"/>
      <c r="MA83" s="131"/>
      <c r="MB83" s="131"/>
      <c r="MC83" s="131"/>
      <c r="MD83" s="131"/>
      <c r="ME83" s="131"/>
      <c r="MF83" s="131"/>
      <c r="MG83" s="131"/>
      <c r="MH83" s="131"/>
      <c r="MI83" s="131"/>
      <c r="MJ83" s="131"/>
      <c r="MK83" s="131"/>
      <c r="ML83" s="131"/>
      <c r="MM83" s="131"/>
      <c r="MN83" s="131"/>
      <c r="MO83" s="131"/>
      <c r="MP83" s="131"/>
      <c r="MQ83" s="131"/>
      <c r="MR83" s="131"/>
      <c r="MS83" s="131"/>
      <c r="MT83" s="131"/>
      <c r="MU83" s="131"/>
      <c r="MV83" s="131"/>
      <c r="MW83" s="131"/>
      <c r="MX83" s="131"/>
      <c r="MY83" s="131"/>
      <c r="MZ83" s="131"/>
      <c r="NA83" s="131"/>
      <c r="NB83" s="131"/>
      <c r="NC83" s="131"/>
      <c r="ND83" s="131"/>
      <c r="NE83" s="131"/>
      <c r="NF83" s="131"/>
      <c r="NG83" s="131"/>
      <c r="NH83" s="131"/>
      <c r="NI83" s="131"/>
      <c r="NJ83" s="131"/>
      <c r="NK83" s="131"/>
      <c r="NL83" s="131"/>
      <c r="NM83" s="131"/>
      <c r="NN83" s="131"/>
      <c r="NO83" s="131"/>
      <c r="NP83" s="131"/>
      <c r="NQ83" s="131"/>
      <c r="NR83" s="131"/>
      <c r="NS83" s="131"/>
      <c r="NT83" s="131"/>
      <c r="NU83" s="131"/>
      <c r="NV83" s="131"/>
      <c r="NW83" s="131"/>
      <c r="NX83" s="131"/>
      <c r="NY83" s="131"/>
      <c r="NZ83" s="131"/>
      <c r="OA83" s="131"/>
      <c r="OB83" s="131"/>
      <c r="OC83" s="131"/>
      <c r="OD83" s="131"/>
      <c r="OE83" s="131"/>
      <c r="OF83" s="131"/>
      <c r="OG83" s="131"/>
      <c r="OH83" s="132"/>
    </row>
    <row r="84" spans="1:398" x14ac:dyDescent="0.35">
      <c r="A84" s="102"/>
      <c r="B84" s="168">
        <f t="shared" si="8"/>
        <v>56</v>
      </c>
      <c r="C84" s="171" t="s">
        <v>903</v>
      </c>
      <c r="D84" s="124" t="s">
        <v>904</v>
      </c>
      <c r="E84" s="124" t="s">
        <v>750</v>
      </c>
      <c r="F84" s="125" t="s">
        <v>907</v>
      </c>
      <c r="G84" s="125" t="s">
        <v>202</v>
      </c>
      <c r="H84" s="125"/>
      <c r="I84" s="139">
        <v>0</v>
      </c>
      <c r="J84" s="139">
        <v>0</v>
      </c>
      <c r="K84" s="139">
        <v>0</v>
      </c>
      <c r="L84" s="139">
        <v>0</v>
      </c>
      <c r="M84" s="139">
        <v>0</v>
      </c>
      <c r="N84" s="139">
        <v>0</v>
      </c>
      <c r="O84" s="140">
        <f t="shared" si="47"/>
        <v>0</v>
      </c>
      <c r="P84" s="139">
        <v>0</v>
      </c>
      <c r="Q84" s="139">
        <v>0</v>
      </c>
      <c r="R84" s="139">
        <v>0</v>
      </c>
      <c r="S84" s="139">
        <v>0</v>
      </c>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c r="AR84" s="141"/>
      <c r="AS84" s="141"/>
      <c r="AT84" s="141"/>
      <c r="AU84" s="141"/>
      <c r="AV84" s="141"/>
      <c r="AW84" s="141"/>
      <c r="AX84" s="141"/>
      <c r="AY84" s="141"/>
      <c r="AZ84" s="141"/>
      <c r="BA84" s="141"/>
      <c r="BB84" s="141"/>
      <c r="BC84" s="141"/>
      <c r="BD84" s="141"/>
      <c r="BE84" s="141"/>
      <c r="BF84" s="141"/>
      <c r="BG84" s="141"/>
      <c r="BH84" s="141"/>
      <c r="BI84" s="141"/>
      <c r="BJ84" s="141"/>
      <c r="BK84" s="141"/>
      <c r="BL84" s="141"/>
      <c r="BM84" s="141"/>
      <c r="BN84" s="141"/>
      <c r="BO84" s="141"/>
      <c r="BP84" s="141"/>
      <c r="BQ84" s="141"/>
      <c r="BR84" s="141"/>
      <c r="BS84" s="141"/>
      <c r="BT84" s="141"/>
      <c r="BU84" s="141"/>
      <c r="BV84" s="141"/>
      <c r="BW84" s="141"/>
      <c r="BX84" s="141"/>
      <c r="BY84" s="141"/>
      <c r="BZ84" s="141"/>
      <c r="CA84" s="141"/>
      <c r="CB84" s="141"/>
      <c r="CC84" s="141"/>
      <c r="CD84" s="141"/>
      <c r="CE84" s="141"/>
      <c r="CF84" s="141"/>
      <c r="CG84" s="141"/>
      <c r="CH84" s="141"/>
      <c r="CI84" s="141"/>
      <c r="CJ84" s="141"/>
      <c r="CK84" s="141"/>
      <c r="CL84" s="141"/>
      <c r="CM84" s="141"/>
      <c r="CN84" s="141"/>
      <c r="CO84" s="141"/>
      <c r="CP84" s="141"/>
      <c r="CQ84" s="141"/>
      <c r="CR84" s="141"/>
      <c r="CS84" s="141"/>
      <c r="CT84" s="141"/>
      <c r="CU84" s="141"/>
      <c r="CV84" s="141"/>
      <c r="CW84" s="141"/>
      <c r="CX84" s="141"/>
      <c r="CY84" s="141"/>
      <c r="CZ84" s="141"/>
      <c r="DA84" s="141"/>
      <c r="DB84" s="141"/>
      <c r="DC84" s="141"/>
      <c r="DD84" s="141"/>
      <c r="DE84" s="141"/>
      <c r="DF84" s="141"/>
      <c r="DG84" s="141"/>
      <c r="DH84" s="141"/>
      <c r="DI84" s="141"/>
      <c r="DJ84" s="141"/>
      <c r="DK84" s="141"/>
      <c r="DL84" s="141"/>
      <c r="DM84" s="141"/>
      <c r="DN84" s="141"/>
      <c r="DO84" s="141"/>
      <c r="DP84" s="141"/>
      <c r="DQ84" s="141"/>
      <c r="DR84" s="141"/>
      <c r="DS84" s="141"/>
      <c r="DT84" s="141"/>
      <c r="DU84" s="141"/>
      <c r="DV84" s="141"/>
      <c r="DW84" s="141"/>
      <c r="DX84" s="141"/>
      <c r="DY84" s="141"/>
      <c r="DZ84" s="141"/>
      <c r="EA84" s="141"/>
      <c r="EB84" s="141"/>
      <c r="EC84" s="141"/>
      <c r="ED84" s="141"/>
      <c r="EE84" s="141"/>
      <c r="EF84" s="141"/>
      <c r="EG84" s="141"/>
      <c r="EH84" s="141"/>
      <c r="EI84" s="141"/>
      <c r="EJ84" s="141"/>
      <c r="EK84" s="141"/>
      <c r="EL84" s="141"/>
      <c r="EM84" s="141"/>
      <c r="EN84" s="141"/>
      <c r="EO84" s="141"/>
      <c r="EP84" s="141"/>
      <c r="EQ84" s="141"/>
      <c r="ER84" s="141"/>
      <c r="ES84" s="141"/>
      <c r="ET84" s="141"/>
      <c r="EU84" s="141"/>
      <c r="EV84" s="141"/>
      <c r="EW84" s="141"/>
      <c r="EX84" s="141"/>
      <c r="EY84" s="141"/>
      <c r="EZ84" s="141"/>
      <c r="FA84" s="141"/>
      <c r="FB84" s="141"/>
      <c r="FC84" s="141"/>
      <c r="FD84" s="141"/>
      <c r="FE84" s="141"/>
      <c r="FF84" s="141"/>
      <c r="FG84" s="141"/>
      <c r="FH84" s="141"/>
      <c r="FI84" s="141"/>
      <c r="FJ84" s="141"/>
      <c r="FK84" s="141"/>
      <c r="FL84" s="141"/>
      <c r="FM84" s="141"/>
      <c r="FN84" s="141"/>
      <c r="FO84" s="141"/>
      <c r="FP84" s="141"/>
      <c r="FQ84" s="141"/>
      <c r="FR84" s="141"/>
      <c r="FS84" s="141"/>
      <c r="FT84" s="141"/>
      <c r="FU84" s="141"/>
      <c r="FV84" s="141"/>
      <c r="FW84" s="141"/>
      <c r="FX84" s="141"/>
      <c r="FY84" s="141"/>
      <c r="FZ84" s="141"/>
      <c r="GA84" s="141"/>
      <c r="GB84" s="141"/>
      <c r="GC84" s="141"/>
      <c r="GD84" s="141"/>
      <c r="GE84" s="141"/>
      <c r="GF84" s="141"/>
      <c r="GG84" s="141"/>
      <c r="GH84" s="141"/>
      <c r="GI84" s="141"/>
      <c r="GJ84" s="141"/>
      <c r="GK84" s="141"/>
      <c r="GL84" s="141"/>
      <c r="GM84" s="141"/>
      <c r="GN84" s="141"/>
      <c r="GO84" s="141"/>
      <c r="GP84" s="141"/>
      <c r="GQ84" s="141"/>
      <c r="GR84" s="141"/>
      <c r="GS84" s="141"/>
      <c r="GT84" s="141"/>
      <c r="GU84" s="141"/>
      <c r="GV84" s="141"/>
      <c r="GW84" s="141"/>
      <c r="GX84" s="141"/>
      <c r="GY84" s="141"/>
      <c r="GZ84" s="141"/>
      <c r="HA84" s="141"/>
      <c r="HB84" s="141"/>
      <c r="HC84" s="141"/>
      <c r="HD84" s="141"/>
      <c r="HE84" s="141"/>
      <c r="HF84" s="141"/>
      <c r="HG84" s="141"/>
      <c r="HH84" s="141"/>
      <c r="HI84" s="141"/>
      <c r="HJ84" s="141"/>
      <c r="HK84" s="141"/>
      <c r="HL84" s="141"/>
      <c r="HM84" s="141"/>
      <c r="HN84" s="141"/>
      <c r="HO84" s="141"/>
      <c r="HP84" s="141"/>
      <c r="HQ84" s="141"/>
      <c r="HR84" s="141"/>
      <c r="HS84" s="141"/>
      <c r="HT84" s="141"/>
      <c r="HU84" s="141"/>
      <c r="HV84" s="141"/>
      <c r="HW84" s="141"/>
      <c r="HX84" s="141"/>
      <c r="HY84" s="141"/>
      <c r="HZ84" s="141"/>
      <c r="IA84" s="141"/>
      <c r="IB84" s="141"/>
      <c r="IC84" s="141"/>
      <c r="ID84" s="141"/>
      <c r="IE84" s="141"/>
      <c r="IF84" s="141"/>
      <c r="IG84" s="141"/>
      <c r="IH84" s="141"/>
      <c r="II84" s="141"/>
      <c r="IJ84" s="141"/>
      <c r="IK84" s="141"/>
      <c r="IL84" s="141"/>
      <c r="IM84" s="141"/>
      <c r="IN84" s="141"/>
      <c r="IO84" s="141"/>
      <c r="IP84" s="141"/>
      <c r="IQ84" s="141"/>
      <c r="IR84" s="141"/>
      <c r="IS84" s="141"/>
      <c r="IT84" s="141"/>
      <c r="IU84" s="141"/>
      <c r="IV84" s="141"/>
      <c r="IW84" s="141"/>
      <c r="IX84" s="141"/>
      <c r="IY84" s="141"/>
      <c r="IZ84" s="141"/>
      <c r="JA84" s="141"/>
      <c r="JB84" s="141"/>
      <c r="JC84" s="141"/>
      <c r="JD84" s="141"/>
      <c r="JE84" s="141"/>
      <c r="JF84" s="141"/>
      <c r="JG84" s="141"/>
      <c r="JH84" s="141"/>
      <c r="JI84" s="141"/>
      <c r="JJ84" s="141"/>
      <c r="JK84" s="141"/>
      <c r="JL84" s="141"/>
      <c r="JM84" s="141"/>
      <c r="JN84" s="141"/>
      <c r="JO84" s="141"/>
      <c r="JP84" s="141"/>
      <c r="JQ84" s="141"/>
      <c r="JR84" s="141"/>
      <c r="JS84" s="141"/>
      <c r="JT84" s="141"/>
      <c r="JU84" s="141"/>
      <c r="JV84" s="141"/>
      <c r="JW84" s="141"/>
      <c r="JX84" s="141"/>
      <c r="JY84" s="141"/>
      <c r="JZ84" s="141"/>
      <c r="KA84" s="141"/>
      <c r="KB84" s="141"/>
      <c r="KC84" s="141"/>
      <c r="KD84" s="141"/>
      <c r="KE84" s="141"/>
      <c r="KF84" s="141"/>
      <c r="KG84" s="141"/>
      <c r="KH84" s="141"/>
      <c r="KI84" s="141"/>
      <c r="KJ84" s="141"/>
      <c r="KK84" s="141"/>
      <c r="KL84" s="141"/>
      <c r="KM84" s="141"/>
      <c r="KN84" s="141"/>
      <c r="KO84" s="141"/>
      <c r="KP84" s="141"/>
      <c r="KQ84" s="141"/>
      <c r="KR84" s="141"/>
      <c r="KS84" s="141"/>
      <c r="KT84" s="141"/>
      <c r="KU84" s="141"/>
      <c r="KV84" s="141"/>
      <c r="KW84" s="141"/>
      <c r="KX84" s="141"/>
      <c r="KY84" s="141"/>
      <c r="KZ84" s="141"/>
      <c r="LA84" s="141"/>
      <c r="LB84" s="141"/>
      <c r="LC84" s="141"/>
      <c r="LD84" s="141"/>
      <c r="LE84" s="141"/>
      <c r="LF84" s="141"/>
      <c r="LG84" s="141"/>
      <c r="LH84" s="141"/>
      <c r="LI84" s="141"/>
      <c r="LJ84" s="141"/>
      <c r="LK84" s="141"/>
      <c r="LL84" s="141"/>
      <c r="LM84" s="141"/>
      <c r="LN84" s="141"/>
      <c r="LO84" s="141"/>
      <c r="LP84" s="141"/>
      <c r="LQ84" s="141"/>
      <c r="LR84" s="141"/>
      <c r="LS84" s="141"/>
      <c r="LT84" s="141"/>
      <c r="LU84" s="141"/>
      <c r="LV84" s="141"/>
      <c r="LW84" s="141"/>
      <c r="LX84" s="141"/>
      <c r="LY84" s="141"/>
      <c r="LZ84" s="141"/>
      <c r="MA84" s="141"/>
      <c r="MB84" s="141"/>
      <c r="MC84" s="141"/>
      <c r="MD84" s="141"/>
      <c r="ME84" s="141"/>
      <c r="MF84" s="141"/>
      <c r="MG84" s="141"/>
      <c r="MH84" s="141"/>
      <c r="MI84" s="141"/>
      <c r="MJ84" s="141"/>
      <c r="MK84" s="141"/>
      <c r="ML84" s="141"/>
      <c r="MM84" s="141"/>
      <c r="MN84" s="141"/>
      <c r="MO84" s="141"/>
      <c r="MP84" s="141"/>
      <c r="MQ84" s="141"/>
      <c r="MR84" s="141"/>
      <c r="MS84" s="141"/>
      <c r="MT84" s="141"/>
      <c r="MU84" s="141"/>
      <c r="MV84" s="141"/>
      <c r="MW84" s="141"/>
      <c r="MX84" s="141"/>
      <c r="MY84" s="141"/>
      <c r="MZ84" s="141"/>
      <c r="NA84" s="141"/>
      <c r="NB84" s="141"/>
      <c r="NC84" s="141"/>
      <c r="ND84" s="141"/>
      <c r="NE84" s="141"/>
      <c r="NF84" s="141"/>
      <c r="NG84" s="141"/>
      <c r="NH84" s="141"/>
      <c r="NI84" s="141"/>
      <c r="NJ84" s="141"/>
      <c r="NK84" s="141"/>
      <c r="NL84" s="141"/>
      <c r="NM84" s="141"/>
      <c r="NN84" s="141"/>
      <c r="NO84" s="141"/>
      <c r="NP84" s="141"/>
      <c r="NQ84" s="141"/>
      <c r="NR84" s="141"/>
      <c r="NS84" s="141"/>
      <c r="NT84" s="141"/>
      <c r="NU84" s="141"/>
      <c r="NV84" s="141"/>
      <c r="NW84" s="141"/>
      <c r="NX84" s="141"/>
      <c r="NY84" s="141"/>
      <c r="NZ84" s="141"/>
      <c r="OA84" s="141"/>
      <c r="OB84" s="141"/>
      <c r="OC84" s="141"/>
      <c r="OD84" s="141"/>
      <c r="OE84" s="141"/>
      <c r="OF84" s="141"/>
      <c r="OG84" s="141"/>
      <c r="OH84" s="142"/>
    </row>
    <row r="85" spans="1:398" x14ac:dyDescent="0.35">
      <c r="A85" s="102"/>
      <c r="B85" s="168">
        <f t="shared" si="8"/>
        <v>57</v>
      </c>
      <c r="C85" s="171" t="s">
        <v>903</v>
      </c>
      <c r="D85" s="124" t="s">
        <v>904</v>
      </c>
      <c r="E85" s="124" t="s">
        <v>750</v>
      </c>
      <c r="F85" s="125" t="s">
        <v>907</v>
      </c>
      <c r="G85" s="125" t="s">
        <v>738</v>
      </c>
      <c r="H85" s="125"/>
      <c r="I85" s="136">
        <f t="shared" ref="I85:R85" si="48">SUM(I79:I84)</f>
        <v>0</v>
      </c>
      <c r="J85" s="136">
        <f t="shared" si="48"/>
        <v>0</v>
      </c>
      <c r="K85" s="137">
        <f t="shared" si="48"/>
        <v>0</v>
      </c>
      <c r="L85" s="137">
        <f t="shared" si="48"/>
        <v>0</v>
      </c>
      <c r="M85" s="137">
        <f t="shared" si="48"/>
        <v>0</v>
      </c>
      <c r="N85" s="137">
        <f t="shared" si="48"/>
        <v>0</v>
      </c>
      <c r="O85" s="137">
        <f t="shared" si="48"/>
        <v>0</v>
      </c>
      <c r="P85" s="137">
        <f t="shared" si="48"/>
        <v>0</v>
      </c>
      <c r="Q85" s="137">
        <f t="shared" si="48"/>
        <v>0</v>
      </c>
      <c r="R85" s="137">
        <f t="shared" si="48"/>
        <v>0</v>
      </c>
      <c r="S85" s="137">
        <f t="shared" ref="S85" si="49">SUM(S79:S84)</f>
        <v>0</v>
      </c>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c r="AP85" s="131"/>
      <c r="AQ85" s="131"/>
      <c r="AR85" s="131"/>
      <c r="AS85" s="131"/>
      <c r="AT85" s="131"/>
      <c r="AU85" s="131"/>
      <c r="AV85" s="131"/>
      <c r="AW85" s="131"/>
      <c r="AX85" s="131"/>
      <c r="AY85" s="131"/>
      <c r="AZ85" s="131"/>
      <c r="BA85" s="131"/>
      <c r="BB85" s="131"/>
      <c r="BC85" s="131"/>
      <c r="BD85" s="131"/>
      <c r="BE85" s="131"/>
      <c r="BF85" s="131"/>
      <c r="BG85" s="131"/>
      <c r="BH85" s="131"/>
      <c r="BI85" s="131"/>
      <c r="BJ85" s="131"/>
      <c r="BK85" s="131"/>
      <c r="BL85" s="131"/>
      <c r="BM85" s="131"/>
      <c r="BN85" s="131"/>
      <c r="BO85" s="131"/>
      <c r="BP85" s="131"/>
      <c r="BQ85" s="131"/>
      <c r="BR85" s="131"/>
      <c r="BS85" s="131"/>
      <c r="BT85" s="131"/>
      <c r="BU85" s="131"/>
      <c r="BV85" s="131"/>
      <c r="BW85" s="131"/>
      <c r="BX85" s="131"/>
      <c r="BY85" s="131"/>
      <c r="BZ85" s="131"/>
      <c r="CA85" s="131"/>
      <c r="CB85" s="131"/>
      <c r="CC85" s="131"/>
      <c r="CD85" s="131"/>
      <c r="CE85" s="131"/>
      <c r="CF85" s="131"/>
      <c r="CG85" s="131"/>
      <c r="CH85" s="131"/>
      <c r="CI85" s="131"/>
      <c r="CJ85" s="131"/>
      <c r="CK85" s="131"/>
      <c r="CL85" s="131"/>
      <c r="CM85" s="131"/>
      <c r="CN85" s="131"/>
      <c r="CO85" s="131"/>
      <c r="CP85" s="131"/>
      <c r="CQ85" s="131"/>
      <c r="CR85" s="131"/>
      <c r="CS85" s="131"/>
      <c r="CT85" s="131"/>
      <c r="CU85" s="131"/>
      <c r="CV85" s="131"/>
      <c r="CW85" s="131"/>
      <c r="CX85" s="131"/>
      <c r="CY85" s="131"/>
      <c r="CZ85" s="131"/>
      <c r="DA85" s="131"/>
      <c r="DB85" s="131"/>
      <c r="DC85" s="131"/>
      <c r="DD85" s="131"/>
      <c r="DE85" s="131"/>
      <c r="DF85" s="131"/>
      <c r="DG85" s="131"/>
      <c r="DH85" s="131"/>
      <c r="DI85" s="131"/>
      <c r="DJ85" s="131"/>
      <c r="DK85" s="131"/>
      <c r="DL85" s="131"/>
      <c r="DM85" s="131"/>
      <c r="DN85" s="131"/>
      <c r="DO85" s="131"/>
      <c r="DP85" s="131"/>
      <c r="DQ85" s="131"/>
      <c r="DR85" s="131"/>
      <c r="DS85" s="131"/>
      <c r="DT85" s="131"/>
      <c r="DU85" s="131"/>
      <c r="DV85" s="131"/>
      <c r="DW85" s="131"/>
      <c r="DX85" s="131"/>
      <c r="DY85" s="131"/>
      <c r="DZ85" s="131"/>
      <c r="EA85" s="131"/>
      <c r="EB85" s="131"/>
      <c r="EC85" s="131"/>
      <c r="ED85" s="131"/>
      <c r="EE85" s="131"/>
      <c r="EF85" s="131"/>
      <c r="EG85" s="131"/>
      <c r="EH85" s="131"/>
      <c r="EI85" s="131"/>
      <c r="EJ85" s="131"/>
      <c r="EK85" s="131"/>
      <c r="EL85" s="131"/>
      <c r="EM85" s="131"/>
      <c r="EN85" s="131"/>
      <c r="EO85" s="131"/>
      <c r="EP85" s="131"/>
      <c r="EQ85" s="131"/>
      <c r="ER85" s="131"/>
      <c r="ES85" s="131"/>
      <c r="ET85" s="131"/>
      <c r="EU85" s="131"/>
      <c r="EV85" s="131"/>
      <c r="EW85" s="131"/>
      <c r="EX85" s="131"/>
      <c r="EY85" s="131"/>
      <c r="EZ85" s="131"/>
      <c r="FA85" s="131"/>
      <c r="FB85" s="131"/>
      <c r="FC85" s="131"/>
      <c r="FD85" s="131"/>
      <c r="FE85" s="131"/>
      <c r="FF85" s="131"/>
      <c r="FG85" s="131"/>
      <c r="FH85" s="131"/>
      <c r="FI85" s="131"/>
      <c r="FJ85" s="131"/>
      <c r="FK85" s="131"/>
      <c r="FL85" s="131"/>
      <c r="FM85" s="131"/>
      <c r="FN85" s="131"/>
      <c r="FO85" s="131"/>
      <c r="FP85" s="131"/>
      <c r="FQ85" s="131"/>
      <c r="FR85" s="131"/>
      <c r="FS85" s="131"/>
      <c r="FT85" s="131"/>
      <c r="FU85" s="131"/>
      <c r="FV85" s="131"/>
      <c r="FW85" s="131"/>
      <c r="FX85" s="131"/>
      <c r="FY85" s="131"/>
      <c r="FZ85" s="131"/>
      <c r="GA85" s="131"/>
      <c r="GB85" s="131"/>
      <c r="GC85" s="131"/>
      <c r="GD85" s="131"/>
      <c r="GE85" s="131"/>
      <c r="GF85" s="131"/>
      <c r="GG85" s="131"/>
      <c r="GH85" s="131"/>
      <c r="GI85" s="131"/>
      <c r="GJ85" s="131"/>
      <c r="GK85" s="131"/>
      <c r="GL85" s="131"/>
      <c r="GM85" s="131"/>
      <c r="GN85" s="131"/>
      <c r="GO85" s="131"/>
      <c r="GP85" s="131"/>
      <c r="GQ85" s="131"/>
      <c r="GR85" s="131"/>
      <c r="GS85" s="131"/>
      <c r="GT85" s="131"/>
      <c r="GU85" s="131"/>
      <c r="GV85" s="131"/>
      <c r="GW85" s="131"/>
      <c r="GX85" s="131"/>
      <c r="GY85" s="131"/>
      <c r="GZ85" s="131"/>
      <c r="HA85" s="131"/>
      <c r="HB85" s="131"/>
      <c r="HC85" s="131"/>
      <c r="HD85" s="131"/>
      <c r="HE85" s="131"/>
      <c r="HF85" s="131"/>
      <c r="HG85" s="131"/>
      <c r="HH85" s="131"/>
      <c r="HI85" s="131"/>
      <c r="HJ85" s="131"/>
      <c r="HK85" s="131"/>
      <c r="HL85" s="131"/>
      <c r="HM85" s="131"/>
      <c r="HN85" s="131"/>
      <c r="HO85" s="131"/>
      <c r="HP85" s="131"/>
      <c r="HQ85" s="131"/>
      <c r="HR85" s="131"/>
      <c r="HS85" s="131"/>
      <c r="HT85" s="131"/>
      <c r="HU85" s="131"/>
      <c r="HV85" s="131"/>
      <c r="HW85" s="131"/>
      <c r="HX85" s="131"/>
      <c r="HY85" s="131"/>
      <c r="HZ85" s="131"/>
      <c r="IA85" s="131"/>
      <c r="IB85" s="131"/>
      <c r="IC85" s="131"/>
      <c r="ID85" s="131"/>
      <c r="IE85" s="131"/>
      <c r="IF85" s="131"/>
      <c r="IG85" s="131"/>
      <c r="IH85" s="131"/>
      <c r="II85" s="131"/>
      <c r="IJ85" s="131"/>
      <c r="IK85" s="131"/>
      <c r="IL85" s="131"/>
      <c r="IM85" s="131"/>
      <c r="IN85" s="131"/>
      <c r="IO85" s="131"/>
      <c r="IP85" s="131"/>
      <c r="IQ85" s="131"/>
      <c r="IR85" s="131"/>
      <c r="IS85" s="131"/>
      <c r="IT85" s="131"/>
      <c r="IU85" s="131"/>
      <c r="IV85" s="131"/>
      <c r="IW85" s="131"/>
      <c r="IX85" s="131"/>
      <c r="IY85" s="131"/>
      <c r="IZ85" s="131"/>
      <c r="JA85" s="131"/>
      <c r="JB85" s="131"/>
      <c r="JC85" s="131"/>
      <c r="JD85" s="131"/>
      <c r="JE85" s="131"/>
      <c r="JF85" s="131"/>
      <c r="JG85" s="131"/>
      <c r="JH85" s="131"/>
      <c r="JI85" s="131"/>
      <c r="JJ85" s="131"/>
      <c r="JK85" s="131"/>
      <c r="JL85" s="131"/>
      <c r="JM85" s="131"/>
      <c r="JN85" s="131"/>
      <c r="JO85" s="131"/>
      <c r="JP85" s="131"/>
      <c r="JQ85" s="131"/>
      <c r="JR85" s="131"/>
      <c r="JS85" s="131"/>
      <c r="JT85" s="131"/>
      <c r="JU85" s="131"/>
      <c r="JV85" s="131"/>
      <c r="JW85" s="131"/>
      <c r="JX85" s="131"/>
      <c r="JY85" s="131"/>
      <c r="JZ85" s="131"/>
      <c r="KA85" s="131"/>
      <c r="KB85" s="131"/>
      <c r="KC85" s="131"/>
      <c r="KD85" s="131"/>
      <c r="KE85" s="131"/>
      <c r="KF85" s="131"/>
      <c r="KG85" s="131"/>
      <c r="KH85" s="131"/>
      <c r="KI85" s="131"/>
      <c r="KJ85" s="131"/>
      <c r="KK85" s="131"/>
      <c r="KL85" s="131"/>
      <c r="KM85" s="131"/>
      <c r="KN85" s="131"/>
      <c r="KO85" s="131"/>
      <c r="KP85" s="131"/>
      <c r="KQ85" s="131"/>
      <c r="KR85" s="131"/>
      <c r="KS85" s="131"/>
      <c r="KT85" s="131"/>
      <c r="KU85" s="131"/>
      <c r="KV85" s="131"/>
      <c r="KW85" s="131"/>
      <c r="KX85" s="131"/>
      <c r="KY85" s="131"/>
      <c r="KZ85" s="131"/>
      <c r="LA85" s="131"/>
      <c r="LB85" s="131"/>
      <c r="LC85" s="131"/>
      <c r="LD85" s="131"/>
      <c r="LE85" s="131"/>
      <c r="LF85" s="131"/>
      <c r="LG85" s="131"/>
      <c r="LH85" s="131"/>
      <c r="LI85" s="131"/>
      <c r="LJ85" s="131"/>
      <c r="LK85" s="131"/>
      <c r="LL85" s="131"/>
      <c r="LM85" s="131"/>
      <c r="LN85" s="131"/>
      <c r="LO85" s="131"/>
      <c r="LP85" s="131"/>
      <c r="LQ85" s="131"/>
      <c r="LR85" s="131"/>
      <c r="LS85" s="131"/>
      <c r="LT85" s="131"/>
      <c r="LU85" s="131"/>
      <c r="LV85" s="131"/>
      <c r="LW85" s="131"/>
      <c r="LX85" s="131"/>
      <c r="LY85" s="131"/>
      <c r="LZ85" s="131"/>
      <c r="MA85" s="131"/>
      <c r="MB85" s="131"/>
      <c r="MC85" s="131"/>
      <c r="MD85" s="131"/>
      <c r="ME85" s="131"/>
      <c r="MF85" s="131"/>
      <c r="MG85" s="131"/>
      <c r="MH85" s="131"/>
      <c r="MI85" s="131"/>
      <c r="MJ85" s="131"/>
      <c r="MK85" s="131"/>
      <c r="ML85" s="131"/>
      <c r="MM85" s="131"/>
      <c r="MN85" s="131"/>
      <c r="MO85" s="131"/>
      <c r="MP85" s="131"/>
      <c r="MQ85" s="131"/>
      <c r="MR85" s="131"/>
      <c r="MS85" s="131"/>
      <c r="MT85" s="131"/>
      <c r="MU85" s="131"/>
      <c r="MV85" s="131"/>
      <c r="MW85" s="131"/>
      <c r="MX85" s="131"/>
      <c r="MY85" s="131"/>
      <c r="MZ85" s="131"/>
      <c r="NA85" s="131"/>
      <c r="NB85" s="131"/>
      <c r="NC85" s="131"/>
      <c r="ND85" s="131"/>
      <c r="NE85" s="131"/>
      <c r="NF85" s="131"/>
      <c r="NG85" s="131"/>
      <c r="NH85" s="131"/>
      <c r="NI85" s="131"/>
      <c r="NJ85" s="131"/>
      <c r="NK85" s="131"/>
      <c r="NL85" s="131"/>
      <c r="NM85" s="131"/>
      <c r="NN85" s="131"/>
      <c r="NO85" s="131"/>
      <c r="NP85" s="131"/>
      <c r="NQ85" s="131"/>
      <c r="NR85" s="131"/>
      <c r="NS85" s="131"/>
      <c r="NT85" s="131"/>
      <c r="NU85" s="131"/>
      <c r="NV85" s="131"/>
      <c r="NW85" s="131"/>
      <c r="NX85" s="131"/>
      <c r="NY85" s="131"/>
      <c r="NZ85" s="131"/>
      <c r="OA85" s="131"/>
      <c r="OB85" s="131"/>
      <c r="OC85" s="131"/>
      <c r="OD85" s="131"/>
      <c r="OE85" s="131"/>
      <c r="OF85" s="131"/>
      <c r="OG85" s="131"/>
      <c r="OH85" s="132"/>
    </row>
    <row r="86" spans="1:398" x14ac:dyDescent="0.35">
      <c r="A86" s="102"/>
      <c r="B86" s="168">
        <f t="shared" si="8"/>
        <v>58</v>
      </c>
      <c r="C86" s="171" t="s">
        <v>903</v>
      </c>
      <c r="D86" s="124" t="s">
        <v>904</v>
      </c>
      <c r="E86" s="124" t="s">
        <v>750</v>
      </c>
      <c r="F86" s="125" t="s">
        <v>738</v>
      </c>
      <c r="G86" s="125" t="s">
        <v>738</v>
      </c>
      <c r="H86" s="125" t="s">
        <v>908</v>
      </c>
      <c r="I86" s="136">
        <f>SUM(I78,I85,I71)</f>
        <v>0</v>
      </c>
      <c r="J86" s="136">
        <f>SUM(J78,J85,J71)</f>
        <v>0</v>
      </c>
      <c r="K86" s="137">
        <f t="shared" ref="K86:O86" si="50">SUM(K78,K85,K71)</f>
        <v>0</v>
      </c>
      <c r="L86" s="137">
        <f t="shared" si="50"/>
        <v>0</v>
      </c>
      <c r="M86" s="137">
        <f t="shared" si="50"/>
        <v>0</v>
      </c>
      <c r="N86" s="137">
        <f t="shared" si="50"/>
        <v>0</v>
      </c>
      <c r="O86" s="137">
        <f t="shared" si="50"/>
        <v>0</v>
      </c>
      <c r="P86" s="137">
        <f>SUM(P78,P85,P71)</f>
        <v>0</v>
      </c>
      <c r="Q86" s="137">
        <f>SUM(Q78,Q85,Q71)</f>
        <v>0</v>
      </c>
      <c r="R86" s="137">
        <f>SUM(R78,R85,R71)</f>
        <v>0</v>
      </c>
      <c r="S86" s="137">
        <f>SUM(S78,S85,S71)</f>
        <v>0</v>
      </c>
      <c r="T86" s="97">
        <v>0</v>
      </c>
      <c r="U86" s="97">
        <v>0</v>
      </c>
      <c r="V86" s="97">
        <v>0</v>
      </c>
      <c r="W86" s="97">
        <v>0</v>
      </c>
      <c r="X86" s="97">
        <v>0</v>
      </c>
      <c r="Y86" s="97">
        <v>0</v>
      </c>
      <c r="Z86" s="97">
        <v>0</v>
      </c>
      <c r="AA86" s="97">
        <v>0</v>
      </c>
      <c r="AB86" s="97">
        <v>0</v>
      </c>
      <c r="AC86" s="97">
        <v>0</v>
      </c>
      <c r="AD86" s="97">
        <v>0</v>
      </c>
      <c r="AE86" s="97">
        <v>0</v>
      </c>
      <c r="AF86" s="97">
        <v>0</v>
      </c>
      <c r="AG86" s="97">
        <v>0</v>
      </c>
      <c r="AH86" s="97">
        <v>0</v>
      </c>
      <c r="AI86" s="97">
        <v>0</v>
      </c>
      <c r="AJ86" s="97">
        <v>0</v>
      </c>
      <c r="AK86" s="97">
        <v>0</v>
      </c>
      <c r="AL86" s="97">
        <v>0</v>
      </c>
      <c r="AM86" s="97">
        <v>0</v>
      </c>
      <c r="AN86" s="97">
        <v>0</v>
      </c>
      <c r="AO86" s="97">
        <v>0</v>
      </c>
      <c r="AP86" s="97">
        <v>0</v>
      </c>
      <c r="AQ86" s="97">
        <v>0</v>
      </c>
      <c r="AR86" s="97">
        <v>0</v>
      </c>
      <c r="AS86" s="97">
        <v>0</v>
      </c>
      <c r="AT86" s="97">
        <v>0</v>
      </c>
      <c r="AU86" s="97">
        <v>0</v>
      </c>
      <c r="AV86" s="97">
        <v>0</v>
      </c>
      <c r="AW86" s="97">
        <v>0</v>
      </c>
      <c r="AX86" s="97">
        <v>0</v>
      </c>
      <c r="AY86" s="97">
        <v>0</v>
      </c>
      <c r="AZ86" s="97">
        <v>0</v>
      </c>
      <c r="BA86" s="97">
        <v>0</v>
      </c>
      <c r="BB86" s="97">
        <v>0</v>
      </c>
      <c r="BC86" s="97">
        <v>0</v>
      </c>
      <c r="BD86" s="97">
        <v>0</v>
      </c>
      <c r="BE86" s="97">
        <v>0</v>
      </c>
      <c r="BF86" s="97">
        <v>0</v>
      </c>
      <c r="BG86" s="97">
        <v>0</v>
      </c>
      <c r="BH86" s="97">
        <v>0</v>
      </c>
      <c r="BI86" s="97">
        <v>0</v>
      </c>
      <c r="BJ86" s="97">
        <v>0</v>
      </c>
      <c r="BK86" s="97">
        <v>0</v>
      </c>
      <c r="BL86" s="97">
        <v>0</v>
      </c>
      <c r="BM86" s="97">
        <v>0</v>
      </c>
      <c r="BN86" s="97">
        <v>0</v>
      </c>
      <c r="BO86" s="97">
        <v>0</v>
      </c>
      <c r="BP86" s="97">
        <v>0</v>
      </c>
      <c r="BQ86" s="97">
        <v>0</v>
      </c>
      <c r="BR86" s="97">
        <v>0</v>
      </c>
      <c r="BS86" s="97">
        <v>0</v>
      </c>
      <c r="BT86" s="97">
        <v>0</v>
      </c>
      <c r="BU86" s="97">
        <v>0</v>
      </c>
      <c r="BV86" s="97">
        <v>0</v>
      </c>
      <c r="BW86" s="97">
        <v>0</v>
      </c>
      <c r="BX86" s="97">
        <v>0</v>
      </c>
      <c r="BY86" s="97">
        <v>0</v>
      </c>
      <c r="BZ86" s="97">
        <v>0</v>
      </c>
      <c r="CA86" s="97">
        <v>0</v>
      </c>
      <c r="CB86" s="97">
        <v>0</v>
      </c>
      <c r="CC86" s="97">
        <v>0</v>
      </c>
      <c r="CD86" s="97">
        <v>0</v>
      </c>
      <c r="CE86" s="97">
        <v>0</v>
      </c>
      <c r="CF86" s="97">
        <v>0</v>
      </c>
      <c r="CG86" s="97">
        <v>0</v>
      </c>
      <c r="CH86" s="97">
        <v>0</v>
      </c>
      <c r="CI86" s="97">
        <v>0</v>
      </c>
      <c r="CJ86" s="97">
        <v>0</v>
      </c>
      <c r="CK86" s="97">
        <v>0</v>
      </c>
      <c r="CL86" s="97">
        <v>0</v>
      </c>
      <c r="CM86" s="97">
        <v>0</v>
      </c>
      <c r="CN86" s="97">
        <v>0</v>
      </c>
      <c r="CO86" s="97">
        <v>0</v>
      </c>
      <c r="CP86" s="97">
        <v>0</v>
      </c>
      <c r="CQ86" s="97">
        <v>0</v>
      </c>
      <c r="CR86" s="97">
        <v>0</v>
      </c>
      <c r="CS86" s="97">
        <v>0</v>
      </c>
      <c r="CT86" s="97">
        <v>0</v>
      </c>
      <c r="CU86" s="97">
        <v>0</v>
      </c>
      <c r="CV86" s="97">
        <v>0</v>
      </c>
      <c r="CW86" s="97">
        <v>0</v>
      </c>
      <c r="CX86" s="97">
        <v>0</v>
      </c>
      <c r="CY86" s="97">
        <v>0</v>
      </c>
      <c r="CZ86" s="97">
        <v>0</v>
      </c>
      <c r="DA86" s="97">
        <v>0</v>
      </c>
      <c r="DB86" s="97">
        <v>0</v>
      </c>
      <c r="DC86" s="97">
        <v>0</v>
      </c>
      <c r="DD86" s="97">
        <v>0</v>
      </c>
      <c r="DE86" s="97">
        <v>0</v>
      </c>
      <c r="DF86" s="97">
        <v>0</v>
      </c>
      <c r="DG86" s="97">
        <v>0</v>
      </c>
      <c r="DH86" s="97">
        <v>0</v>
      </c>
      <c r="DI86" s="97">
        <v>0</v>
      </c>
      <c r="DJ86" s="97">
        <v>0</v>
      </c>
      <c r="DK86" s="97">
        <v>0</v>
      </c>
      <c r="DL86" s="97">
        <v>0</v>
      </c>
      <c r="DM86" s="97">
        <v>0</v>
      </c>
      <c r="DN86" s="97">
        <v>0</v>
      </c>
      <c r="DO86" s="97">
        <v>0</v>
      </c>
      <c r="DP86" s="97">
        <v>0</v>
      </c>
      <c r="DQ86" s="97">
        <v>0</v>
      </c>
      <c r="DR86" s="97">
        <v>0</v>
      </c>
      <c r="DS86" s="97">
        <v>0</v>
      </c>
      <c r="DT86" s="97">
        <v>0</v>
      </c>
      <c r="DU86" s="97">
        <v>0</v>
      </c>
      <c r="DV86" s="97">
        <v>0</v>
      </c>
      <c r="DW86" s="97">
        <v>0</v>
      </c>
      <c r="DX86" s="97">
        <v>0</v>
      </c>
      <c r="DY86" s="97">
        <v>0</v>
      </c>
      <c r="DZ86" s="97">
        <v>0</v>
      </c>
      <c r="EA86" s="97">
        <v>0</v>
      </c>
      <c r="EB86" s="97">
        <v>0</v>
      </c>
      <c r="EC86" s="97">
        <v>0</v>
      </c>
      <c r="ED86" s="97">
        <v>0</v>
      </c>
      <c r="EE86" s="97">
        <v>0</v>
      </c>
      <c r="EF86" s="97">
        <v>0</v>
      </c>
      <c r="EG86" s="97">
        <v>0</v>
      </c>
      <c r="EH86" s="97">
        <v>0</v>
      </c>
      <c r="EI86" s="97">
        <v>0</v>
      </c>
      <c r="EJ86" s="97">
        <v>0</v>
      </c>
      <c r="EK86" s="97">
        <v>0</v>
      </c>
      <c r="EL86" s="97">
        <v>0</v>
      </c>
      <c r="EM86" s="97">
        <v>0</v>
      </c>
      <c r="EN86" s="97">
        <v>0</v>
      </c>
      <c r="EO86" s="97">
        <v>0</v>
      </c>
      <c r="EP86" s="97">
        <v>0</v>
      </c>
      <c r="EQ86" s="97">
        <v>0</v>
      </c>
      <c r="ER86" s="97">
        <v>0</v>
      </c>
      <c r="ES86" s="97">
        <v>0</v>
      </c>
      <c r="ET86" s="97">
        <v>0</v>
      </c>
      <c r="EU86" s="97">
        <v>0</v>
      </c>
      <c r="EV86" s="97">
        <v>0</v>
      </c>
      <c r="EW86" s="97">
        <v>0</v>
      </c>
      <c r="EX86" s="97">
        <v>0</v>
      </c>
      <c r="EY86" s="97">
        <v>0</v>
      </c>
      <c r="EZ86" s="97">
        <v>0</v>
      </c>
      <c r="FA86" s="97">
        <v>0</v>
      </c>
      <c r="FB86" s="97">
        <v>0</v>
      </c>
      <c r="FC86" s="97">
        <v>0</v>
      </c>
      <c r="FD86" s="97">
        <v>0</v>
      </c>
      <c r="FE86" s="97">
        <v>0</v>
      </c>
      <c r="FF86" s="97">
        <v>0</v>
      </c>
      <c r="FG86" s="97">
        <v>0</v>
      </c>
      <c r="FH86" s="97">
        <v>0</v>
      </c>
      <c r="FI86" s="97">
        <v>0</v>
      </c>
      <c r="FJ86" s="97">
        <v>0</v>
      </c>
      <c r="FK86" s="97">
        <v>0</v>
      </c>
      <c r="FL86" s="97">
        <v>0</v>
      </c>
      <c r="FM86" s="97">
        <v>0</v>
      </c>
      <c r="FN86" s="97">
        <v>0</v>
      </c>
      <c r="FO86" s="97">
        <v>0</v>
      </c>
      <c r="FP86" s="97">
        <v>0</v>
      </c>
      <c r="FQ86" s="97">
        <v>0</v>
      </c>
      <c r="FR86" s="97">
        <v>0</v>
      </c>
      <c r="FS86" s="97">
        <v>0</v>
      </c>
      <c r="FT86" s="97">
        <v>0</v>
      </c>
      <c r="FU86" s="97">
        <v>0</v>
      </c>
      <c r="FV86" s="97">
        <v>0</v>
      </c>
      <c r="FW86" s="97">
        <v>0</v>
      </c>
      <c r="FX86" s="97">
        <v>0</v>
      </c>
      <c r="FY86" s="97">
        <v>0</v>
      </c>
      <c r="FZ86" s="97">
        <v>0</v>
      </c>
      <c r="GA86" s="97">
        <v>0</v>
      </c>
      <c r="GB86" s="97">
        <v>0</v>
      </c>
      <c r="GC86" s="97">
        <v>0</v>
      </c>
      <c r="GD86" s="97">
        <v>0</v>
      </c>
      <c r="GE86" s="97">
        <v>0</v>
      </c>
      <c r="GF86" s="97">
        <v>0</v>
      </c>
      <c r="GG86" s="97">
        <v>0</v>
      </c>
      <c r="GH86" s="97">
        <v>0</v>
      </c>
      <c r="GI86" s="97">
        <v>0</v>
      </c>
      <c r="GJ86" s="97">
        <v>0</v>
      </c>
      <c r="GK86" s="97">
        <v>0</v>
      </c>
      <c r="GL86" s="97">
        <v>0</v>
      </c>
      <c r="GM86" s="97">
        <v>0</v>
      </c>
      <c r="GN86" s="97">
        <v>0</v>
      </c>
      <c r="GO86" s="97">
        <v>0</v>
      </c>
      <c r="GP86" s="97">
        <v>0</v>
      </c>
      <c r="GQ86" s="97">
        <v>0</v>
      </c>
      <c r="GR86" s="97">
        <v>0</v>
      </c>
      <c r="GS86" s="97">
        <v>0</v>
      </c>
      <c r="GT86" s="97">
        <v>0</v>
      </c>
      <c r="GU86" s="97">
        <v>0</v>
      </c>
      <c r="GV86" s="97">
        <v>0</v>
      </c>
      <c r="GW86" s="97">
        <v>0</v>
      </c>
      <c r="GX86" s="97">
        <v>0</v>
      </c>
      <c r="GY86" s="97">
        <v>0</v>
      </c>
      <c r="GZ86" s="97">
        <v>0</v>
      </c>
      <c r="HA86" s="97">
        <v>0</v>
      </c>
      <c r="HB86" s="97">
        <v>0</v>
      </c>
      <c r="HC86" s="97">
        <v>0</v>
      </c>
      <c r="HD86" s="97">
        <v>0</v>
      </c>
      <c r="HE86" s="97">
        <v>0</v>
      </c>
      <c r="HF86" s="97">
        <v>0</v>
      </c>
      <c r="HG86" s="97">
        <v>0</v>
      </c>
      <c r="HH86" s="97">
        <v>0</v>
      </c>
      <c r="HI86" s="97">
        <v>0</v>
      </c>
      <c r="HJ86" s="97">
        <v>0</v>
      </c>
      <c r="HK86" s="97">
        <v>0</v>
      </c>
      <c r="HL86" s="97">
        <v>0</v>
      </c>
      <c r="HM86" s="97">
        <v>0</v>
      </c>
      <c r="HN86" s="97">
        <v>0</v>
      </c>
      <c r="HO86" s="97">
        <v>0</v>
      </c>
      <c r="HP86" s="97">
        <v>0</v>
      </c>
      <c r="HQ86" s="97">
        <v>0</v>
      </c>
      <c r="HR86" s="97">
        <v>0</v>
      </c>
      <c r="HS86" s="97">
        <v>0</v>
      </c>
      <c r="HT86" s="97">
        <v>0</v>
      </c>
      <c r="HU86" s="97">
        <v>0</v>
      </c>
      <c r="HV86" s="97">
        <v>0</v>
      </c>
      <c r="HW86" s="97">
        <v>0</v>
      </c>
      <c r="HX86" s="97">
        <v>0</v>
      </c>
      <c r="HY86" s="97">
        <v>0</v>
      </c>
      <c r="HZ86" s="97">
        <v>0</v>
      </c>
      <c r="IA86" s="97">
        <v>0</v>
      </c>
      <c r="IB86" s="97">
        <v>0</v>
      </c>
      <c r="IC86" s="97">
        <v>0</v>
      </c>
      <c r="ID86" s="97">
        <v>0</v>
      </c>
      <c r="IE86" s="97">
        <v>0</v>
      </c>
      <c r="IF86" s="97">
        <v>0</v>
      </c>
      <c r="IG86" s="97">
        <v>0</v>
      </c>
      <c r="IH86" s="97">
        <v>0</v>
      </c>
      <c r="II86" s="97">
        <v>0</v>
      </c>
      <c r="IJ86" s="97">
        <v>0</v>
      </c>
      <c r="IK86" s="97">
        <v>0</v>
      </c>
      <c r="IL86" s="97">
        <v>0</v>
      </c>
      <c r="IM86" s="97">
        <v>0</v>
      </c>
      <c r="IN86" s="97">
        <v>0</v>
      </c>
      <c r="IO86" s="97">
        <v>0</v>
      </c>
      <c r="IP86" s="97">
        <v>0</v>
      </c>
      <c r="IQ86" s="97">
        <v>0</v>
      </c>
      <c r="IR86" s="97">
        <v>0</v>
      </c>
      <c r="IS86" s="97">
        <v>0</v>
      </c>
      <c r="IT86" s="97">
        <v>0</v>
      </c>
      <c r="IU86" s="97">
        <v>0</v>
      </c>
      <c r="IV86" s="97">
        <v>0</v>
      </c>
      <c r="IW86" s="97">
        <v>0</v>
      </c>
      <c r="IX86" s="97">
        <v>0</v>
      </c>
      <c r="IY86" s="97">
        <v>0</v>
      </c>
      <c r="IZ86" s="97">
        <v>0</v>
      </c>
      <c r="JA86" s="97">
        <v>0</v>
      </c>
      <c r="JB86" s="97">
        <v>0</v>
      </c>
      <c r="JC86" s="97">
        <v>0</v>
      </c>
      <c r="JD86" s="97">
        <v>0</v>
      </c>
      <c r="JE86" s="97">
        <v>0</v>
      </c>
      <c r="JF86" s="97">
        <v>0</v>
      </c>
      <c r="JG86" s="97">
        <v>0</v>
      </c>
      <c r="JH86" s="97">
        <v>0</v>
      </c>
      <c r="JI86" s="97">
        <v>0</v>
      </c>
      <c r="JJ86" s="97">
        <v>0</v>
      </c>
      <c r="JK86" s="97">
        <v>0</v>
      </c>
      <c r="JL86" s="97">
        <v>0</v>
      </c>
      <c r="JM86" s="97">
        <v>0</v>
      </c>
      <c r="JN86" s="97">
        <v>0</v>
      </c>
      <c r="JO86" s="97">
        <v>0</v>
      </c>
      <c r="JP86" s="97">
        <v>0</v>
      </c>
      <c r="JQ86" s="97">
        <v>0</v>
      </c>
      <c r="JR86" s="97">
        <v>0</v>
      </c>
      <c r="JS86" s="97">
        <v>0</v>
      </c>
      <c r="JT86" s="97">
        <v>0</v>
      </c>
      <c r="JU86" s="97">
        <v>0</v>
      </c>
      <c r="JV86" s="97">
        <v>0</v>
      </c>
      <c r="JW86" s="97">
        <v>0</v>
      </c>
      <c r="JX86" s="97">
        <v>0</v>
      </c>
      <c r="JY86" s="97">
        <v>0</v>
      </c>
      <c r="JZ86" s="97">
        <v>0</v>
      </c>
      <c r="KA86" s="97">
        <v>0</v>
      </c>
      <c r="KB86" s="97">
        <v>0</v>
      </c>
      <c r="KC86" s="97">
        <v>0</v>
      </c>
      <c r="KD86" s="97">
        <v>0</v>
      </c>
      <c r="KE86" s="97">
        <v>0</v>
      </c>
      <c r="KF86" s="97">
        <v>0</v>
      </c>
      <c r="KG86" s="97">
        <v>0</v>
      </c>
      <c r="KH86" s="97">
        <v>0</v>
      </c>
      <c r="KI86" s="97">
        <v>0</v>
      </c>
      <c r="KJ86" s="97">
        <v>0</v>
      </c>
      <c r="KK86" s="97">
        <v>0</v>
      </c>
      <c r="KL86" s="97">
        <v>0</v>
      </c>
      <c r="KM86" s="97">
        <v>0</v>
      </c>
      <c r="KN86" s="97">
        <v>0</v>
      </c>
      <c r="KO86" s="97">
        <v>0</v>
      </c>
      <c r="KP86" s="97">
        <v>0</v>
      </c>
      <c r="KQ86" s="97">
        <v>0</v>
      </c>
      <c r="KR86" s="97">
        <v>0</v>
      </c>
      <c r="KS86" s="97">
        <v>0</v>
      </c>
      <c r="KT86" s="97">
        <v>0</v>
      </c>
      <c r="KU86" s="97">
        <v>0</v>
      </c>
      <c r="KV86" s="97">
        <v>0</v>
      </c>
      <c r="KW86" s="97">
        <v>0</v>
      </c>
      <c r="KX86" s="97">
        <v>0</v>
      </c>
      <c r="KY86" s="97">
        <v>0</v>
      </c>
      <c r="KZ86" s="97">
        <v>0</v>
      </c>
      <c r="LA86" s="97">
        <v>0</v>
      </c>
      <c r="LB86" s="97">
        <v>0</v>
      </c>
      <c r="LC86" s="97">
        <v>0</v>
      </c>
      <c r="LD86" s="97">
        <v>0</v>
      </c>
      <c r="LE86" s="97">
        <v>0</v>
      </c>
      <c r="LF86" s="97">
        <v>0</v>
      </c>
      <c r="LG86" s="97">
        <v>0</v>
      </c>
      <c r="LH86" s="97">
        <v>0</v>
      </c>
      <c r="LI86" s="97">
        <v>0</v>
      </c>
      <c r="LJ86" s="97">
        <v>0</v>
      </c>
      <c r="LK86" s="97">
        <v>0</v>
      </c>
      <c r="LL86" s="97">
        <v>0</v>
      </c>
      <c r="LM86" s="97">
        <v>0</v>
      </c>
      <c r="LN86" s="97">
        <v>0</v>
      </c>
      <c r="LO86" s="97">
        <v>0</v>
      </c>
      <c r="LP86" s="97">
        <v>0</v>
      </c>
      <c r="LQ86" s="97">
        <v>0</v>
      </c>
      <c r="LR86" s="97">
        <v>0</v>
      </c>
      <c r="LS86" s="97">
        <v>0</v>
      </c>
      <c r="LT86" s="97">
        <v>0</v>
      </c>
      <c r="LU86" s="97">
        <v>0</v>
      </c>
      <c r="LV86" s="97">
        <v>0</v>
      </c>
      <c r="LW86" s="97">
        <v>0</v>
      </c>
      <c r="LX86" s="97">
        <v>0</v>
      </c>
      <c r="LY86" s="97">
        <v>0</v>
      </c>
      <c r="LZ86" s="97">
        <v>0</v>
      </c>
      <c r="MA86" s="97">
        <v>0</v>
      </c>
      <c r="MB86" s="97">
        <v>0</v>
      </c>
      <c r="MC86" s="97">
        <v>0</v>
      </c>
      <c r="MD86" s="97">
        <v>0</v>
      </c>
      <c r="ME86" s="97">
        <v>0</v>
      </c>
      <c r="MF86" s="97">
        <v>0</v>
      </c>
      <c r="MG86" s="97">
        <v>0</v>
      </c>
      <c r="MH86" s="97">
        <v>0</v>
      </c>
      <c r="MI86" s="97">
        <v>0</v>
      </c>
      <c r="MJ86" s="97">
        <v>0</v>
      </c>
      <c r="MK86" s="97">
        <v>0</v>
      </c>
      <c r="ML86" s="97">
        <v>0</v>
      </c>
      <c r="MM86" s="97">
        <v>0</v>
      </c>
      <c r="MN86" s="97">
        <v>0</v>
      </c>
      <c r="MO86" s="97">
        <v>0</v>
      </c>
      <c r="MP86" s="97">
        <v>0</v>
      </c>
      <c r="MQ86" s="97">
        <v>0</v>
      </c>
      <c r="MR86" s="97">
        <v>0</v>
      </c>
      <c r="MS86" s="97">
        <v>0</v>
      </c>
      <c r="MT86" s="97">
        <v>0</v>
      </c>
      <c r="MU86" s="97">
        <v>0</v>
      </c>
      <c r="MV86" s="97">
        <v>0</v>
      </c>
      <c r="MW86" s="97">
        <v>0</v>
      </c>
      <c r="MX86" s="97">
        <v>0</v>
      </c>
      <c r="MY86" s="97">
        <v>0</v>
      </c>
      <c r="MZ86" s="97">
        <v>0</v>
      </c>
      <c r="NA86" s="97">
        <v>0</v>
      </c>
      <c r="NB86" s="97">
        <v>0</v>
      </c>
      <c r="NC86" s="97">
        <v>0</v>
      </c>
      <c r="ND86" s="97">
        <v>0</v>
      </c>
      <c r="NE86" s="97">
        <v>0</v>
      </c>
      <c r="NF86" s="97">
        <v>0</v>
      </c>
      <c r="NG86" s="97">
        <v>0</v>
      </c>
      <c r="NH86" s="97">
        <v>0</v>
      </c>
      <c r="NI86" s="97">
        <v>0</v>
      </c>
      <c r="NJ86" s="97">
        <v>0</v>
      </c>
      <c r="NK86" s="97">
        <v>0</v>
      </c>
      <c r="NL86" s="97">
        <v>0</v>
      </c>
      <c r="NM86" s="97">
        <v>0</v>
      </c>
      <c r="NN86" s="97">
        <v>0</v>
      </c>
      <c r="NO86" s="97">
        <v>0</v>
      </c>
      <c r="NP86" s="97">
        <v>0</v>
      </c>
      <c r="NQ86" s="97">
        <v>0</v>
      </c>
      <c r="NR86" s="97">
        <v>0</v>
      </c>
      <c r="NS86" s="97">
        <v>0</v>
      </c>
      <c r="NT86" s="97">
        <v>0</v>
      </c>
      <c r="NU86" s="97">
        <v>0</v>
      </c>
      <c r="NV86" s="97">
        <v>0</v>
      </c>
      <c r="NW86" s="97">
        <v>0</v>
      </c>
      <c r="NX86" s="97">
        <v>0</v>
      </c>
      <c r="NY86" s="97">
        <v>0</v>
      </c>
      <c r="NZ86" s="97">
        <v>0</v>
      </c>
      <c r="OA86" s="97">
        <v>0</v>
      </c>
      <c r="OB86" s="97">
        <v>0</v>
      </c>
      <c r="OC86" s="97">
        <v>0</v>
      </c>
      <c r="OD86" s="97">
        <v>0</v>
      </c>
      <c r="OE86" s="97">
        <v>0</v>
      </c>
      <c r="OF86" s="97">
        <v>0</v>
      </c>
      <c r="OG86" s="97">
        <v>0</v>
      </c>
      <c r="OH86" s="97">
        <v>0</v>
      </c>
    </row>
    <row r="87" spans="1:398" x14ac:dyDescent="0.35">
      <c r="A87" s="102"/>
      <c r="B87" s="168">
        <f t="shared" si="8"/>
        <v>59</v>
      </c>
      <c r="C87" s="171" t="s">
        <v>903</v>
      </c>
      <c r="D87" s="124" t="s">
        <v>904</v>
      </c>
      <c r="E87" s="124" t="s">
        <v>909</v>
      </c>
      <c r="F87" s="125" t="s">
        <v>950</v>
      </c>
      <c r="G87" s="125" t="s">
        <v>738</v>
      </c>
      <c r="H87" s="125" t="s">
        <v>910</v>
      </c>
      <c r="I87" s="129">
        <v>0</v>
      </c>
      <c r="J87" s="129">
        <v>0</v>
      </c>
      <c r="K87" s="129">
        <v>0</v>
      </c>
      <c r="L87" s="129">
        <v>0</v>
      </c>
      <c r="M87" s="129">
        <v>0</v>
      </c>
      <c r="N87" s="129">
        <v>0</v>
      </c>
      <c r="O87" s="130">
        <f>SUM(P87,R87)</f>
        <v>0</v>
      </c>
      <c r="P87" s="129">
        <v>0</v>
      </c>
      <c r="Q87" s="129">
        <v>0</v>
      </c>
      <c r="R87" s="165"/>
      <c r="S87" s="165"/>
      <c r="T87" s="129">
        <v>0</v>
      </c>
      <c r="U87" s="129">
        <v>0</v>
      </c>
      <c r="V87" s="129">
        <v>0</v>
      </c>
      <c r="W87" s="129">
        <v>0</v>
      </c>
      <c r="X87" s="129">
        <v>0</v>
      </c>
      <c r="Y87" s="129">
        <v>0</v>
      </c>
      <c r="Z87" s="129">
        <v>0</v>
      </c>
      <c r="AA87" s="129">
        <v>0</v>
      </c>
      <c r="AB87" s="129">
        <v>0</v>
      </c>
      <c r="AC87" s="129">
        <v>0</v>
      </c>
      <c r="AD87" s="129">
        <v>0</v>
      </c>
      <c r="AE87" s="129">
        <v>0</v>
      </c>
      <c r="AF87" s="129">
        <v>0</v>
      </c>
      <c r="AG87" s="129">
        <v>0</v>
      </c>
      <c r="AH87" s="129">
        <v>0</v>
      </c>
      <c r="AI87" s="129">
        <v>0</v>
      </c>
      <c r="AJ87" s="129">
        <v>0</v>
      </c>
      <c r="AK87" s="129">
        <v>0</v>
      </c>
      <c r="AL87" s="129">
        <v>0</v>
      </c>
      <c r="AM87" s="129">
        <v>0</v>
      </c>
      <c r="AN87" s="129">
        <v>0</v>
      </c>
      <c r="AO87" s="129">
        <v>0</v>
      </c>
      <c r="AP87" s="129">
        <v>0</v>
      </c>
      <c r="AQ87" s="129">
        <v>0</v>
      </c>
      <c r="AR87" s="129">
        <v>0</v>
      </c>
      <c r="AS87" s="129">
        <v>0</v>
      </c>
      <c r="AT87" s="129">
        <v>0</v>
      </c>
      <c r="AU87" s="129">
        <v>0</v>
      </c>
      <c r="AV87" s="129">
        <v>0</v>
      </c>
      <c r="AW87" s="129">
        <v>0</v>
      </c>
      <c r="AX87" s="129">
        <v>0</v>
      </c>
      <c r="AY87" s="129">
        <v>0</v>
      </c>
      <c r="AZ87" s="129">
        <v>0</v>
      </c>
      <c r="BA87" s="129">
        <v>0</v>
      </c>
      <c r="BB87" s="129">
        <v>0</v>
      </c>
      <c r="BC87" s="129">
        <v>0</v>
      </c>
      <c r="BD87" s="129">
        <v>0</v>
      </c>
      <c r="BE87" s="129">
        <v>0</v>
      </c>
      <c r="BF87" s="129">
        <v>0</v>
      </c>
      <c r="BG87" s="129">
        <v>0</v>
      </c>
      <c r="BH87" s="129">
        <v>0</v>
      </c>
      <c r="BI87" s="129">
        <v>0</v>
      </c>
      <c r="BJ87" s="129">
        <v>0</v>
      </c>
      <c r="BK87" s="129">
        <v>0</v>
      </c>
      <c r="BL87" s="129">
        <v>0</v>
      </c>
      <c r="BM87" s="129">
        <v>0</v>
      </c>
      <c r="BN87" s="129">
        <v>0</v>
      </c>
      <c r="BO87" s="129">
        <v>0</v>
      </c>
      <c r="BP87" s="129">
        <v>0</v>
      </c>
      <c r="BQ87" s="129">
        <v>0</v>
      </c>
      <c r="BR87" s="129">
        <v>0</v>
      </c>
      <c r="BS87" s="129">
        <v>0</v>
      </c>
      <c r="BT87" s="129">
        <v>0</v>
      </c>
      <c r="BU87" s="129">
        <v>0</v>
      </c>
      <c r="BV87" s="129">
        <v>0</v>
      </c>
      <c r="BW87" s="129">
        <v>0</v>
      </c>
      <c r="BX87" s="129">
        <v>0</v>
      </c>
      <c r="BY87" s="129">
        <v>0</v>
      </c>
      <c r="BZ87" s="129">
        <v>0</v>
      </c>
      <c r="CA87" s="129">
        <v>0</v>
      </c>
      <c r="CB87" s="129">
        <v>0</v>
      </c>
      <c r="CC87" s="129">
        <v>0</v>
      </c>
      <c r="CD87" s="129">
        <v>0</v>
      </c>
      <c r="CE87" s="129">
        <v>0</v>
      </c>
      <c r="CF87" s="129">
        <v>0</v>
      </c>
      <c r="CG87" s="129">
        <v>0</v>
      </c>
      <c r="CH87" s="129">
        <v>0</v>
      </c>
      <c r="CI87" s="129">
        <v>0</v>
      </c>
      <c r="CJ87" s="129">
        <v>0</v>
      </c>
      <c r="CK87" s="129">
        <v>0</v>
      </c>
      <c r="CL87" s="129">
        <v>0</v>
      </c>
      <c r="CM87" s="129">
        <v>0</v>
      </c>
      <c r="CN87" s="129">
        <v>0</v>
      </c>
      <c r="CO87" s="129">
        <v>0</v>
      </c>
      <c r="CP87" s="129">
        <v>0</v>
      </c>
      <c r="CQ87" s="129">
        <v>0</v>
      </c>
      <c r="CR87" s="129">
        <v>0</v>
      </c>
      <c r="CS87" s="129">
        <v>0</v>
      </c>
      <c r="CT87" s="129">
        <v>0</v>
      </c>
      <c r="CU87" s="129">
        <v>0</v>
      </c>
      <c r="CV87" s="129">
        <v>0</v>
      </c>
      <c r="CW87" s="129">
        <v>0</v>
      </c>
      <c r="CX87" s="129">
        <v>0</v>
      </c>
      <c r="CY87" s="129">
        <v>0</v>
      </c>
      <c r="CZ87" s="129">
        <v>0</v>
      </c>
      <c r="DA87" s="129">
        <v>0</v>
      </c>
      <c r="DB87" s="129">
        <v>0</v>
      </c>
      <c r="DC87" s="129">
        <v>0</v>
      </c>
      <c r="DD87" s="129">
        <v>0</v>
      </c>
      <c r="DE87" s="129">
        <v>0</v>
      </c>
      <c r="DF87" s="129">
        <v>0</v>
      </c>
      <c r="DG87" s="129">
        <v>0</v>
      </c>
      <c r="DH87" s="129">
        <v>0</v>
      </c>
      <c r="DI87" s="129">
        <v>0</v>
      </c>
      <c r="DJ87" s="129">
        <v>0</v>
      </c>
      <c r="DK87" s="129">
        <v>0</v>
      </c>
      <c r="DL87" s="129">
        <v>0</v>
      </c>
      <c r="DM87" s="129">
        <v>0</v>
      </c>
      <c r="DN87" s="129">
        <v>0</v>
      </c>
      <c r="DO87" s="129">
        <v>0</v>
      </c>
      <c r="DP87" s="129">
        <v>0</v>
      </c>
      <c r="DQ87" s="129">
        <v>0</v>
      </c>
      <c r="DR87" s="129">
        <v>0</v>
      </c>
      <c r="DS87" s="129">
        <v>0</v>
      </c>
      <c r="DT87" s="129">
        <v>0</v>
      </c>
      <c r="DU87" s="129">
        <v>0</v>
      </c>
      <c r="DV87" s="129">
        <v>0</v>
      </c>
      <c r="DW87" s="129">
        <v>0</v>
      </c>
      <c r="DX87" s="129">
        <v>0</v>
      </c>
      <c r="DY87" s="129">
        <v>0</v>
      </c>
      <c r="DZ87" s="129">
        <v>0</v>
      </c>
      <c r="EA87" s="129">
        <v>0</v>
      </c>
      <c r="EB87" s="129">
        <v>0</v>
      </c>
      <c r="EC87" s="129">
        <v>0</v>
      </c>
      <c r="ED87" s="129">
        <v>0</v>
      </c>
      <c r="EE87" s="129">
        <v>0</v>
      </c>
      <c r="EF87" s="129">
        <v>0</v>
      </c>
      <c r="EG87" s="129">
        <v>0</v>
      </c>
      <c r="EH87" s="129">
        <v>0</v>
      </c>
      <c r="EI87" s="129">
        <v>0</v>
      </c>
      <c r="EJ87" s="129">
        <v>0</v>
      </c>
      <c r="EK87" s="129">
        <v>0</v>
      </c>
      <c r="EL87" s="129">
        <v>0</v>
      </c>
      <c r="EM87" s="129">
        <v>0</v>
      </c>
      <c r="EN87" s="129">
        <v>0</v>
      </c>
      <c r="EO87" s="129">
        <v>0</v>
      </c>
      <c r="EP87" s="129">
        <v>0</v>
      </c>
      <c r="EQ87" s="129">
        <v>0</v>
      </c>
      <c r="ER87" s="129">
        <v>0</v>
      </c>
      <c r="ES87" s="129">
        <v>0</v>
      </c>
      <c r="ET87" s="129">
        <v>0</v>
      </c>
      <c r="EU87" s="129">
        <v>0</v>
      </c>
      <c r="EV87" s="129">
        <v>0</v>
      </c>
      <c r="EW87" s="129">
        <v>0</v>
      </c>
      <c r="EX87" s="129">
        <v>0</v>
      </c>
      <c r="EY87" s="129">
        <v>0</v>
      </c>
      <c r="EZ87" s="129">
        <v>0</v>
      </c>
      <c r="FA87" s="129">
        <v>0</v>
      </c>
      <c r="FB87" s="129">
        <v>0</v>
      </c>
      <c r="FC87" s="129">
        <v>0</v>
      </c>
      <c r="FD87" s="129">
        <v>0</v>
      </c>
      <c r="FE87" s="129">
        <v>0</v>
      </c>
      <c r="FF87" s="129">
        <v>0</v>
      </c>
      <c r="FG87" s="129">
        <v>0</v>
      </c>
      <c r="FH87" s="129">
        <v>0</v>
      </c>
      <c r="FI87" s="129">
        <v>0</v>
      </c>
      <c r="FJ87" s="129">
        <v>0</v>
      </c>
      <c r="FK87" s="129">
        <v>0</v>
      </c>
      <c r="FL87" s="129">
        <v>0</v>
      </c>
      <c r="FM87" s="129">
        <v>0</v>
      </c>
      <c r="FN87" s="129">
        <v>0</v>
      </c>
      <c r="FO87" s="129">
        <v>0</v>
      </c>
      <c r="FP87" s="129">
        <v>0</v>
      </c>
      <c r="FQ87" s="129">
        <v>0</v>
      </c>
      <c r="FR87" s="129">
        <v>0</v>
      </c>
      <c r="FS87" s="129">
        <v>0</v>
      </c>
      <c r="FT87" s="129">
        <v>0</v>
      </c>
      <c r="FU87" s="129">
        <v>0</v>
      </c>
      <c r="FV87" s="129">
        <v>0</v>
      </c>
      <c r="FW87" s="129">
        <v>0</v>
      </c>
      <c r="FX87" s="129">
        <v>0</v>
      </c>
      <c r="FY87" s="129">
        <v>0</v>
      </c>
      <c r="FZ87" s="129">
        <v>0</v>
      </c>
      <c r="GA87" s="129">
        <v>0</v>
      </c>
      <c r="GB87" s="129">
        <v>0</v>
      </c>
      <c r="GC87" s="129">
        <v>0</v>
      </c>
      <c r="GD87" s="129">
        <v>0</v>
      </c>
      <c r="GE87" s="129">
        <v>0</v>
      </c>
      <c r="GF87" s="129">
        <v>0</v>
      </c>
      <c r="GG87" s="129">
        <v>0</v>
      </c>
      <c r="GH87" s="129">
        <v>0</v>
      </c>
      <c r="GI87" s="129">
        <v>0</v>
      </c>
      <c r="GJ87" s="129">
        <v>0</v>
      </c>
      <c r="GK87" s="129">
        <v>0</v>
      </c>
      <c r="GL87" s="129">
        <v>0</v>
      </c>
      <c r="GM87" s="129">
        <v>0</v>
      </c>
      <c r="GN87" s="129">
        <v>0</v>
      </c>
      <c r="GO87" s="129">
        <v>0</v>
      </c>
      <c r="GP87" s="129">
        <v>0</v>
      </c>
      <c r="GQ87" s="129">
        <v>0</v>
      </c>
      <c r="GR87" s="129">
        <v>0</v>
      </c>
      <c r="GS87" s="129">
        <v>0</v>
      </c>
      <c r="GT87" s="129">
        <v>0</v>
      </c>
      <c r="GU87" s="129">
        <v>0</v>
      </c>
      <c r="GV87" s="129">
        <v>0</v>
      </c>
      <c r="GW87" s="129">
        <v>0</v>
      </c>
      <c r="GX87" s="129">
        <v>0</v>
      </c>
      <c r="GY87" s="129">
        <v>0</v>
      </c>
      <c r="GZ87" s="129">
        <v>0</v>
      </c>
      <c r="HA87" s="129">
        <v>0</v>
      </c>
      <c r="HB87" s="129">
        <v>0</v>
      </c>
      <c r="HC87" s="129">
        <v>0</v>
      </c>
      <c r="HD87" s="129">
        <v>0</v>
      </c>
      <c r="HE87" s="129">
        <v>0</v>
      </c>
      <c r="HF87" s="129">
        <v>0</v>
      </c>
      <c r="HG87" s="129">
        <v>0</v>
      </c>
      <c r="HH87" s="129">
        <v>0</v>
      </c>
      <c r="HI87" s="129">
        <v>0</v>
      </c>
      <c r="HJ87" s="129">
        <v>0</v>
      </c>
      <c r="HK87" s="129">
        <v>0</v>
      </c>
      <c r="HL87" s="129">
        <v>0</v>
      </c>
      <c r="HM87" s="129">
        <v>0</v>
      </c>
      <c r="HN87" s="129">
        <v>0</v>
      </c>
      <c r="HO87" s="129">
        <v>0</v>
      </c>
      <c r="HP87" s="129">
        <v>0</v>
      </c>
      <c r="HQ87" s="129">
        <v>0</v>
      </c>
      <c r="HR87" s="129">
        <v>0</v>
      </c>
      <c r="HS87" s="129">
        <v>0</v>
      </c>
      <c r="HT87" s="129">
        <v>0</v>
      </c>
      <c r="HU87" s="129">
        <v>0</v>
      </c>
      <c r="HV87" s="129">
        <v>0</v>
      </c>
      <c r="HW87" s="129">
        <v>0</v>
      </c>
      <c r="HX87" s="129">
        <v>0</v>
      </c>
      <c r="HY87" s="129">
        <v>0</v>
      </c>
      <c r="HZ87" s="129">
        <v>0</v>
      </c>
      <c r="IA87" s="129">
        <v>0</v>
      </c>
      <c r="IB87" s="129">
        <v>0</v>
      </c>
      <c r="IC87" s="129">
        <v>0</v>
      </c>
      <c r="ID87" s="129">
        <v>0</v>
      </c>
      <c r="IE87" s="129">
        <v>0</v>
      </c>
      <c r="IF87" s="129">
        <v>0</v>
      </c>
      <c r="IG87" s="129">
        <v>0</v>
      </c>
      <c r="IH87" s="129">
        <v>0</v>
      </c>
      <c r="II87" s="129">
        <v>0</v>
      </c>
      <c r="IJ87" s="129">
        <v>0</v>
      </c>
      <c r="IK87" s="129">
        <v>0</v>
      </c>
      <c r="IL87" s="129">
        <v>0</v>
      </c>
      <c r="IM87" s="129">
        <v>0</v>
      </c>
      <c r="IN87" s="129">
        <v>0</v>
      </c>
      <c r="IO87" s="129">
        <v>0</v>
      </c>
      <c r="IP87" s="129">
        <v>0</v>
      </c>
      <c r="IQ87" s="129">
        <v>0</v>
      </c>
      <c r="IR87" s="129">
        <v>0</v>
      </c>
      <c r="IS87" s="129">
        <v>0</v>
      </c>
      <c r="IT87" s="129">
        <v>0</v>
      </c>
      <c r="IU87" s="129">
        <v>0</v>
      </c>
      <c r="IV87" s="129">
        <v>0</v>
      </c>
      <c r="IW87" s="129">
        <v>0</v>
      </c>
      <c r="IX87" s="129">
        <v>0</v>
      </c>
      <c r="IY87" s="129">
        <v>0</v>
      </c>
      <c r="IZ87" s="129">
        <v>0</v>
      </c>
      <c r="JA87" s="129">
        <v>0</v>
      </c>
      <c r="JB87" s="129">
        <v>0</v>
      </c>
      <c r="JC87" s="129">
        <v>0</v>
      </c>
      <c r="JD87" s="129">
        <v>0</v>
      </c>
      <c r="JE87" s="129">
        <v>0</v>
      </c>
      <c r="JF87" s="129">
        <v>0</v>
      </c>
      <c r="JG87" s="129">
        <v>0</v>
      </c>
      <c r="JH87" s="129">
        <v>0</v>
      </c>
      <c r="JI87" s="129">
        <v>0</v>
      </c>
      <c r="JJ87" s="129">
        <v>0</v>
      </c>
      <c r="JK87" s="129">
        <v>0</v>
      </c>
      <c r="JL87" s="129">
        <v>0</v>
      </c>
      <c r="JM87" s="129">
        <v>0</v>
      </c>
      <c r="JN87" s="129">
        <v>0</v>
      </c>
      <c r="JO87" s="129">
        <v>0</v>
      </c>
      <c r="JP87" s="129">
        <v>0</v>
      </c>
      <c r="JQ87" s="129">
        <v>0</v>
      </c>
      <c r="JR87" s="129">
        <v>0</v>
      </c>
      <c r="JS87" s="129">
        <v>0</v>
      </c>
      <c r="JT87" s="129">
        <v>0</v>
      </c>
      <c r="JU87" s="129">
        <v>0</v>
      </c>
      <c r="JV87" s="129">
        <v>0</v>
      </c>
      <c r="JW87" s="129">
        <v>0</v>
      </c>
      <c r="JX87" s="129">
        <v>0</v>
      </c>
      <c r="JY87" s="129">
        <v>0</v>
      </c>
      <c r="JZ87" s="129">
        <v>0</v>
      </c>
      <c r="KA87" s="129">
        <v>0</v>
      </c>
      <c r="KB87" s="129">
        <v>0</v>
      </c>
      <c r="KC87" s="129">
        <v>0</v>
      </c>
      <c r="KD87" s="129">
        <v>0</v>
      </c>
      <c r="KE87" s="129">
        <v>0</v>
      </c>
      <c r="KF87" s="129">
        <v>0</v>
      </c>
      <c r="KG87" s="129">
        <v>0</v>
      </c>
      <c r="KH87" s="129">
        <v>0</v>
      </c>
      <c r="KI87" s="129">
        <v>0</v>
      </c>
      <c r="KJ87" s="129">
        <v>0</v>
      </c>
      <c r="KK87" s="129">
        <v>0</v>
      </c>
      <c r="KL87" s="129">
        <v>0</v>
      </c>
      <c r="KM87" s="129">
        <v>0</v>
      </c>
      <c r="KN87" s="129">
        <v>0</v>
      </c>
      <c r="KO87" s="129">
        <v>0</v>
      </c>
      <c r="KP87" s="129">
        <v>0</v>
      </c>
      <c r="KQ87" s="129">
        <v>0</v>
      </c>
      <c r="KR87" s="129">
        <v>0</v>
      </c>
      <c r="KS87" s="129">
        <v>0</v>
      </c>
      <c r="KT87" s="129">
        <v>0</v>
      </c>
      <c r="KU87" s="129">
        <v>0</v>
      </c>
      <c r="KV87" s="129">
        <v>0</v>
      </c>
      <c r="KW87" s="129">
        <v>0</v>
      </c>
      <c r="KX87" s="129">
        <v>0</v>
      </c>
      <c r="KY87" s="129">
        <v>0</v>
      </c>
      <c r="KZ87" s="129">
        <v>0</v>
      </c>
      <c r="LA87" s="129">
        <v>0</v>
      </c>
      <c r="LB87" s="129">
        <v>0</v>
      </c>
      <c r="LC87" s="129">
        <v>0</v>
      </c>
      <c r="LD87" s="129">
        <v>0</v>
      </c>
      <c r="LE87" s="129">
        <v>0</v>
      </c>
      <c r="LF87" s="129">
        <v>0</v>
      </c>
      <c r="LG87" s="129">
        <v>0</v>
      </c>
      <c r="LH87" s="129">
        <v>0</v>
      </c>
      <c r="LI87" s="129">
        <v>0</v>
      </c>
      <c r="LJ87" s="129">
        <v>0</v>
      </c>
      <c r="LK87" s="129">
        <v>0</v>
      </c>
      <c r="LL87" s="129">
        <v>0</v>
      </c>
      <c r="LM87" s="129">
        <v>0</v>
      </c>
      <c r="LN87" s="129">
        <v>0</v>
      </c>
      <c r="LO87" s="129">
        <v>0</v>
      </c>
      <c r="LP87" s="129">
        <v>0</v>
      </c>
      <c r="LQ87" s="129">
        <v>0</v>
      </c>
      <c r="LR87" s="129">
        <v>0</v>
      </c>
      <c r="LS87" s="129">
        <v>0</v>
      </c>
      <c r="LT87" s="129">
        <v>0</v>
      </c>
      <c r="LU87" s="129">
        <v>0</v>
      </c>
      <c r="LV87" s="129">
        <v>0</v>
      </c>
      <c r="LW87" s="129">
        <v>0</v>
      </c>
      <c r="LX87" s="129">
        <v>0</v>
      </c>
      <c r="LY87" s="129">
        <v>0</v>
      </c>
      <c r="LZ87" s="129">
        <v>0</v>
      </c>
      <c r="MA87" s="129">
        <v>0</v>
      </c>
      <c r="MB87" s="129">
        <v>0</v>
      </c>
      <c r="MC87" s="129">
        <v>0</v>
      </c>
      <c r="MD87" s="129">
        <v>0</v>
      </c>
      <c r="ME87" s="129">
        <v>0</v>
      </c>
      <c r="MF87" s="129">
        <v>0</v>
      </c>
      <c r="MG87" s="129">
        <v>0</v>
      </c>
      <c r="MH87" s="129">
        <v>0</v>
      </c>
      <c r="MI87" s="129">
        <v>0</v>
      </c>
      <c r="MJ87" s="129">
        <v>0</v>
      </c>
      <c r="MK87" s="129">
        <v>0</v>
      </c>
      <c r="ML87" s="129">
        <v>0</v>
      </c>
      <c r="MM87" s="129">
        <v>0</v>
      </c>
      <c r="MN87" s="129">
        <v>0</v>
      </c>
      <c r="MO87" s="129">
        <v>0</v>
      </c>
      <c r="MP87" s="129">
        <v>0</v>
      </c>
      <c r="MQ87" s="129">
        <v>0</v>
      </c>
      <c r="MR87" s="129">
        <v>0</v>
      </c>
      <c r="MS87" s="129">
        <v>0</v>
      </c>
      <c r="MT87" s="129">
        <v>0</v>
      </c>
      <c r="MU87" s="129">
        <v>0</v>
      </c>
      <c r="MV87" s="129">
        <v>0</v>
      </c>
      <c r="MW87" s="129">
        <v>0</v>
      </c>
      <c r="MX87" s="129">
        <v>0</v>
      </c>
      <c r="MY87" s="129">
        <v>0</v>
      </c>
      <c r="MZ87" s="129">
        <v>0</v>
      </c>
      <c r="NA87" s="129">
        <v>0</v>
      </c>
      <c r="NB87" s="129">
        <v>0</v>
      </c>
      <c r="NC87" s="129">
        <v>0</v>
      </c>
      <c r="ND87" s="129">
        <v>0</v>
      </c>
      <c r="NE87" s="129">
        <v>0</v>
      </c>
      <c r="NF87" s="129">
        <v>0</v>
      </c>
      <c r="NG87" s="129">
        <v>0</v>
      </c>
      <c r="NH87" s="129">
        <v>0</v>
      </c>
      <c r="NI87" s="129">
        <v>0</v>
      </c>
      <c r="NJ87" s="129">
        <v>0</v>
      </c>
      <c r="NK87" s="129">
        <v>0</v>
      </c>
      <c r="NL87" s="129">
        <v>0</v>
      </c>
      <c r="NM87" s="129">
        <v>0</v>
      </c>
      <c r="NN87" s="129">
        <v>0</v>
      </c>
      <c r="NO87" s="129">
        <v>0</v>
      </c>
      <c r="NP87" s="129">
        <v>0</v>
      </c>
      <c r="NQ87" s="129">
        <v>0</v>
      </c>
      <c r="NR87" s="129">
        <v>0</v>
      </c>
      <c r="NS87" s="129">
        <v>0</v>
      </c>
      <c r="NT87" s="129">
        <v>0</v>
      </c>
      <c r="NU87" s="129">
        <v>0</v>
      </c>
      <c r="NV87" s="129">
        <v>0</v>
      </c>
      <c r="NW87" s="129">
        <v>0</v>
      </c>
      <c r="NX87" s="129">
        <v>0</v>
      </c>
      <c r="NY87" s="129">
        <v>0</v>
      </c>
      <c r="NZ87" s="129">
        <v>0</v>
      </c>
      <c r="OA87" s="129">
        <v>0</v>
      </c>
      <c r="OB87" s="129">
        <v>0</v>
      </c>
      <c r="OC87" s="129">
        <v>0</v>
      </c>
      <c r="OD87" s="129">
        <v>0</v>
      </c>
      <c r="OE87" s="129">
        <v>0</v>
      </c>
      <c r="OF87" s="129">
        <v>0</v>
      </c>
      <c r="OG87" s="129">
        <v>0</v>
      </c>
      <c r="OH87" s="133">
        <v>0</v>
      </c>
    </row>
    <row r="88" spans="1:398" x14ac:dyDescent="0.35">
      <c r="A88" s="102"/>
      <c r="B88" s="168">
        <f t="shared" si="8"/>
        <v>60</v>
      </c>
      <c r="C88" s="171" t="s">
        <v>903</v>
      </c>
      <c r="D88" s="124" t="s">
        <v>904</v>
      </c>
      <c r="E88" s="124" t="s">
        <v>911</v>
      </c>
      <c r="F88" s="125" t="s">
        <v>951</v>
      </c>
      <c r="G88" s="125" t="s">
        <v>738</v>
      </c>
      <c r="H88" s="125" t="s">
        <v>944</v>
      </c>
      <c r="I88" s="129">
        <v>0</v>
      </c>
      <c r="J88" s="129">
        <v>0</v>
      </c>
      <c r="K88" s="129">
        <v>0</v>
      </c>
      <c r="L88" s="129">
        <v>0</v>
      </c>
      <c r="M88" s="129">
        <v>0</v>
      </c>
      <c r="N88" s="129">
        <v>0</v>
      </c>
      <c r="O88" s="130">
        <f>SUM(P88,R88)</f>
        <v>0</v>
      </c>
      <c r="P88" s="129">
        <v>0</v>
      </c>
      <c r="Q88" s="129">
        <v>0</v>
      </c>
      <c r="R88" s="129">
        <v>0</v>
      </c>
      <c r="S88" s="129">
        <v>0</v>
      </c>
      <c r="T88" s="129">
        <v>0</v>
      </c>
      <c r="U88" s="129">
        <v>0</v>
      </c>
      <c r="V88" s="129">
        <v>0</v>
      </c>
      <c r="W88" s="129">
        <v>0</v>
      </c>
      <c r="X88" s="129">
        <v>0</v>
      </c>
      <c r="Y88" s="129">
        <v>0</v>
      </c>
      <c r="Z88" s="129">
        <v>0</v>
      </c>
      <c r="AA88" s="129">
        <v>0</v>
      </c>
      <c r="AB88" s="129">
        <v>0</v>
      </c>
      <c r="AC88" s="129">
        <v>0</v>
      </c>
      <c r="AD88" s="129">
        <v>0</v>
      </c>
      <c r="AE88" s="129">
        <v>0</v>
      </c>
      <c r="AF88" s="129">
        <v>0</v>
      </c>
      <c r="AG88" s="129">
        <v>0</v>
      </c>
      <c r="AH88" s="129">
        <v>0</v>
      </c>
      <c r="AI88" s="129">
        <v>0</v>
      </c>
      <c r="AJ88" s="129">
        <v>0</v>
      </c>
      <c r="AK88" s="129">
        <v>0</v>
      </c>
      <c r="AL88" s="129">
        <v>0</v>
      </c>
      <c r="AM88" s="129">
        <v>0</v>
      </c>
      <c r="AN88" s="129">
        <v>0</v>
      </c>
      <c r="AO88" s="129">
        <v>0</v>
      </c>
      <c r="AP88" s="129">
        <v>0</v>
      </c>
      <c r="AQ88" s="129">
        <v>0</v>
      </c>
      <c r="AR88" s="129">
        <v>0</v>
      </c>
      <c r="AS88" s="129">
        <v>0</v>
      </c>
      <c r="AT88" s="129">
        <v>0</v>
      </c>
      <c r="AU88" s="129">
        <v>0</v>
      </c>
      <c r="AV88" s="129">
        <v>0</v>
      </c>
      <c r="AW88" s="129">
        <v>0</v>
      </c>
      <c r="AX88" s="129">
        <v>0</v>
      </c>
      <c r="AY88" s="129">
        <v>0</v>
      </c>
      <c r="AZ88" s="129">
        <v>0</v>
      </c>
      <c r="BA88" s="129">
        <v>0</v>
      </c>
      <c r="BB88" s="129">
        <v>0</v>
      </c>
      <c r="BC88" s="129">
        <v>0</v>
      </c>
      <c r="BD88" s="129">
        <v>0</v>
      </c>
      <c r="BE88" s="129">
        <v>0</v>
      </c>
      <c r="BF88" s="129">
        <v>0</v>
      </c>
      <c r="BG88" s="129">
        <v>0</v>
      </c>
      <c r="BH88" s="129">
        <v>0</v>
      </c>
      <c r="BI88" s="129">
        <v>0</v>
      </c>
      <c r="BJ88" s="129">
        <v>0</v>
      </c>
      <c r="BK88" s="129">
        <v>0</v>
      </c>
      <c r="BL88" s="129">
        <v>0</v>
      </c>
      <c r="BM88" s="129">
        <v>0</v>
      </c>
      <c r="BN88" s="129">
        <v>0</v>
      </c>
      <c r="BO88" s="129">
        <v>0</v>
      </c>
      <c r="BP88" s="129">
        <v>0</v>
      </c>
      <c r="BQ88" s="129">
        <v>0</v>
      </c>
      <c r="BR88" s="129">
        <v>0</v>
      </c>
      <c r="BS88" s="129">
        <v>0</v>
      </c>
      <c r="BT88" s="129">
        <v>0</v>
      </c>
      <c r="BU88" s="129">
        <v>0</v>
      </c>
      <c r="BV88" s="129">
        <v>0</v>
      </c>
      <c r="BW88" s="129">
        <v>0</v>
      </c>
      <c r="BX88" s="129">
        <v>0</v>
      </c>
      <c r="BY88" s="129">
        <v>0</v>
      </c>
      <c r="BZ88" s="129">
        <v>0</v>
      </c>
      <c r="CA88" s="129">
        <v>0</v>
      </c>
      <c r="CB88" s="129">
        <v>0</v>
      </c>
      <c r="CC88" s="129">
        <v>0</v>
      </c>
      <c r="CD88" s="129">
        <v>0</v>
      </c>
      <c r="CE88" s="129">
        <v>0</v>
      </c>
      <c r="CF88" s="129">
        <v>0</v>
      </c>
      <c r="CG88" s="129">
        <v>0</v>
      </c>
      <c r="CH88" s="129">
        <v>0</v>
      </c>
      <c r="CI88" s="129">
        <v>0</v>
      </c>
      <c r="CJ88" s="129">
        <v>0</v>
      </c>
      <c r="CK88" s="129">
        <v>0</v>
      </c>
      <c r="CL88" s="129">
        <v>0</v>
      </c>
      <c r="CM88" s="129">
        <v>0</v>
      </c>
      <c r="CN88" s="129">
        <v>0</v>
      </c>
      <c r="CO88" s="129">
        <v>0</v>
      </c>
      <c r="CP88" s="129">
        <v>0</v>
      </c>
      <c r="CQ88" s="129">
        <v>0</v>
      </c>
      <c r="CR88" s="129">
        <v>0</v>
      </c>
      <c r="CS88" s="129">
        <v>0</v>
      </c>
      <c r="CT88" s="129">
        <v>0</v>
      </c>
      <c r="CU88" s="129">
        <v>0</v>
      </c>
      <c r="CV88" s="129">
        <v>0</v>
      </c>
      <c r="CW88" s="129">
        <v>0</v>
      </c>
      <c r="CX88" s="129">
        <v>0</v>
      </c>
      <c r="CY88" s="129">
        <v>0</v>
      </c>
      <c r="CZ88" s="129">
        <v>0</v>
      </c>
      <c r="DA88" s="129">
        <v>0</v>
      </c>
      <c r="DB88" s="129">
        <v>0</v>
      </c>
      <c r="DC88" s="129">
        <v>0</v>
      </c>
      <c r="DD88" s="129">
        <v>0</v>
      </c>
      <c r="DE88" s="129">
        <v>0</v>
      </c>
      <c r="DF88" s="129">
        <v>0</v>
      </c>
      <c r="DG88" s="129">
        <v>0</v>
      </c>
      <c r="DH88" s="129">
        <v>0</v>
      </c>
      <c r="DI88" s="129">
        <v>0</v>
      </c>
      <c r="DJ88" s="129">
        <v>0</v>
      </c>
      <c r="DK88" s="129">
        <v>0</v>
      </c>
      <c r="DL88" s="129">
        <v>0</v>
      </c>
      <c r="DM88" s="129">
        <v>0</v>
      </c>
      <c r="DN88" s="129">
        <v>0</v>
      </c>
      <c r="DO88" s="129">
        <v>0</v>
      </c>
      <c r="DP88" s="129">
        <v>0</v>
      </c>
      <c r="DQ88" s="129">
        <v>0</v>
      </c>
      <c r="DR88" s="129">
        <v>0</v>
      </c>
      <c r="DS88" s="129">
        <v>0</v>
      </c>
      <c r="DT88" s="129">
        <v>0</v>
      </c>
      <c r="DU88" s="129">
        <v>0</v>
      </c>
      <c r="DV88" s="129">
        <v>0</v>
      </c>
      <c r="DW88" s="129">
        <v>0</v>
      </c>
      <c r="DX88" s="129">
        <v>0</v>
      </c>
      <c r="DY88" s="129">
        <v>0</v>
      </c>
      <c r="DZ88" s="129">
        <v>0</v>
      </c>
      <c r="EA88" s="129">
        <v>0</v>
      </c>
      <c r="EB88" s="129">
        <v>0</v>
      </c>
      <c r="EC88" s="129">
        <v>0</v>
      </c>
      <c r="ED88" s="129">
        <v>0</v>
      </c>
      <c r="EE88" s="129">
        <v>0</v>
      </c>
      <c r="EF88" s="129">
        <v>0</v>
      </c>
      <c r="EG88" s="129">
        <v>0</v>
      </c>
      <c r="EH88" s="129">
        <v>0</v>
      </c>
      <c r="EI88" s="129">
        <v>0</v>
      </c>
      <c r="EJ88" s="129">
        <v>0</v>
      </c>
      <c r="EK88" s="129">
        <v>0</v>
      </c>
      <c r="EL88" s="129">
        <v>0</v>
      </c>
      <c r="EM88" s="129">
        <v>0</v>
      </c>
      <c r="EN88" s="129">
        <v>0</v>
      </c>
      <c r="EO88" s="129">
        <v>0</v>
      </c>
      <c r="EP88" s="129">
        <v>0</v>
      </c>
      <c r="EQ88" s="129">
        <v>0</v>
      </c>
      <c r="ER88" s="129">
        <v>0</v>
      </c>
      <c r="ES88" s="129">
        <v>0</v>
      </c>
      <c r="ET88" s="129">
        <v>0</v>
      </c>
      <c r="EU88" s="129">
        <v>0</v>
      </c>
      <c r="EV88" s="129">
        <v>0</v>
      </c>
      <c r="EW88" s="129">
        <v>0</v>
      </c>
      <c r="EX88" s="129">
        <v>0</v>
      </c>
      <c r="EY88" s="129">
        <v>0</v>
      </c>
      <c r="EZ88" s="129">
        <v>0</v>
      </c>
      <c r="FA88" s="129">
        <v>0</v>
      </c>
      <c r="FB88" s="129">
        <v>0</v>
      </c>
      <c r="FC88" s="129">
        <v>0</v>
      </c>
      <c r="FD88" s="129">
        <v>0</v>
      </c>
      <c r="FE88" s="129">
        <v>0</v>
      </c>
      <c r="FF88" s="129">
        <v>0</v>
      </c>
      <c r="FG88" s="129">
        <v>0</v>
      </c>
      <c r="FH88" s="129">
        <v>0</v>
      </c>
      <c r="FI88" s="129">
        <v>0</v>
      </c>
      <c r="FJ88" s="129">
        <v>0</v>
      </c>
      <c r="FK88" s="129">
        <v>0</v>
      </c>
      <c r="FL88" s="129">
        <v>0</v>
      </c>
      <c r="FM88" s="129">
        <v>0</v>
      </c>
      <c r="FN88" s="129">
        <v>0</v>
      </c>
      <c r="FO88" s="129">
        <v>0</v>
      </c>
      <c r="FP88" s="129">
        <v>0</v>
      </c>
      <c r="FQ88" s="129">
        <v>0</v>
      </c>
      <c r="FR88" s="129">
        <v>0</v>
      </c>
      <c r="FS88" s="129">
        <v>0</v>
      </c>
      <c r="FT88" s="129">
        <v>0</v>
      </c>
      <c r="FU88" s="129">
        <v>0</v>
      </c>
      <c r="FV88" s="129">
        <v>0</v>
      </c>
      <c r="FW88" s="129">
        <v>0</v>
      </c>
      <c r="FX88" s="129">
        <v>0</v>
      </c>
      <c r="FY88" s="129">
        <v>0</v>
      </c>
      <c r="FZ88" s="129">
        <v>0</v>
      </c>
      <c r="GA88" s="129">
        <v>0</v>
      </c>
      <c r="GB88" s="129">
        <v>0</v>
      </c>
      <c r="GC88" s="129">
        <v>0</v>
      </c>
      <c r="GD88" s="129">
        <v>0</v>
      </c>
      <c r="GE88" s="129">
        <v>0</v>
      </c>
      <c r="GF88" s="129">
        <v>0</v>
      </c>
      <c r="GG88" s="129">
        <v>0</v>
      </c>
      <c r="GH88" s="129">
        <v>0</v>
      </c>
      <c r="GI88" s="129">
        <v>0</v>
      </c>
      <c r="GJ88" s="129">
        <v>0</v>
      </c>
      <c r="GK88" s="129">
        <v>0</v>
      </c>
      <c r="GL88" s="129">
        <v>0</v>
      </c>
      <c r="GM88" s="129">
        <v>0</v>
      </c>
      <c r="GN88" s="129">
        <v>0</v>
      </c>
      <c r="GO88" s="129">
        <v>0</v>
      </c>
      <c r="GP88" s="129">
        <v>0</v>
      </c>
      <c r="GQ88" s="129">
        <v>0</v>
      </c>
      <c r="GR88" s="129">
        <v>0</v>
      </c>
      <c r="GS88" s="129">
        <v>0</v>
      </c>
      <c r="GT88" s="129">
        <v>0</v>
      </c>
      <c r="GU88" s="129">
        <v>0</v>
      </c>
      <c r="GV88" s="129">
        <v>0</v>
      </c>
      <c r="GW88" s="129">
        <v>0</v>
      </c>
      <c r="GX88" s="129">
        <v>0</v>
      </c>
      <c r="GY88" s="129">
        <v>0</v>
      </c>
      <c r="GZ88" s="129">
        <v>0</v>
      </c>
      <c r="HA88" s="129">
        <v>0</v>
      </c>
      <c r="HB88" s="129">
        <v>0</v>
      </c>
      <c r="HC88" s="129">
        <v>0</v>
      </c>
      <c r="HD88" s="129">
        <v>0</v>
      </c>
      <c r="HE88" s="129">
        <v>0</v>
      </c>
      <c r="HF88" s="129">
        <v>0</v>
      </c>
      <c r="HG88" s="129">
        <v>0</v>
      </c>
      <c r="HH88" s="129">
        <v>0</v>
      </c>
      <c r="HI88" s="129">
        <v>0</v>
      </c>
      <c r="HJ88" s="129">
        <v>0</v>
      </c>
      <c r="HK88" s="129">
        <v>0</v>
      </c>
      <c r="HL88" s="129">
        <v>0</v>
      </c>
      <c r="HM88" s="129">
        <v>0</v>
      </c>
      <c r="HN88" s="129">
        <v>0</v>
      </c>
      <c r="HO88" s="129">
        <v>0</v>
      </c>
      <c r="HP88" s="129">
        <v>0</v>
      </c>
      <c r="HQ88" s="129">
        <v>0</v>
      </c>
      <c r="HR88" s="129">
        <v>0</v>
      </c>
      <c r="HS88" s="129">
        <v>0</v>
      </c>
      <c r="HT88" s="129">
        <v>0</v>
      </c>
      <c r="HU88" s="129">
        <v>0</v>
      </c>
      <c r="HV88" s="129">
        <v>0</v>
      </c>
      <c r="HW88" s="129">
        <v>0</v>
      </c>
      <c r="HX88" s="129">
        <v>0</v>
      </c>
      <c r="HY88" s="129">
        <v>0</v>
      </c>
      <c r="HZ88" s="129">
        <v>0</v>
      </c>
      <c r="IA88" s="129">
        <v>0</v>
      </c>
      <c r="IB88" s="129">
        <v>0</v>
      </c>
      <c r="IC88" s="129">
        <v>0</v>
      </c>
      <c r="ID88" s="129">
        <v>0</v>
      </c>
      <c r="IE88" s="129">
        <v>0</v>
      </c>
      <c r="IF88" s="129">
        <v>0</v>
      </c>
      <c r="IG88" s="129">
        <v>0</v>
      </c>
      <c r="IH88" s="129">
        <v>0</v>
      </c>
      <c r="II88" s="129">
        <v>0</v>
      </c>
      <c r="IJ88" s="129">
        <v>0</v>
      </c>
      <c r="IK88" s="129">
        <v>0</v>
      </c>
      <c r="IL88" s="129">
        <v>0</v>
      </c>
      <c r="IM88" s="129">
        <v>0</v>
      </c>
      <c r="IN88" s="129">
        <v>0</v>
      </c>
      <c r="IO88" s="129">
        <v>0</v>
      </c>
      <c r="IP88" s="129">
        <v>0</v>
      </c>
      <c r="IQ88" s="129">
        <v>0</v>
      </c>
      <c r="IR88" s="129">
        <v>0</v>
      </c>
      <c r="IS88" s="129">
        <v>0</v>
      </c>
      <c r="IT88" s="129">
        <v>0</v>
      </c>
      <c r="IU88" s="129">
        <v>0</v>
      </c>
      <c r="IV88" s="129">
        <v>0</v>
      </c>
      <c r="IW88" s="129">
        <v>0</v>
      </c>
      <c r="IX88" s="129">
        <v>0</v>
      </c>
      <c r="IY88" s="129">
        <v>0</v>
      </c>
      <c r="IZ88" s="129">
        <v>0</v>
      </c>
      <c r="JA88" s="129">
        <v>0</v>
      </c>
      <c r="JB88" s="129">
        <v>0</v>
      </c>
      <c r="JC88" s="129">
        <v>0</v>
      </c>
      <c r="JD88" s="129">
        <v>0</v>
      </c>
      <c r="JE88" s="129">
        <v>0</v>
      </c>
      <c r="JF88" s="129">
        <v>0</v>
      </c>
      <c r="JG88" s="129">
        <v>0</v>
      </c>
      <c r="JH88" s="129">
        <v>0</v>
      </c>
      <c r="JI88" s="129">
        <v>0</v>
      </c>
      <c r="JJ88" s="129">
        <v>0</v>
      </c>
      <c r="JK88" s="129">
        <v>0</v>
      </c>
      <c r="JL88" s="129">
        <v>0</v>
      </c>
      <c r="JM88" s="129">
        <v>0</v>
      </c>
      <c r="JN88" s="129">
        <v>0</v>
      </c>
      <c r="JO88" s="129">
        <v>0</v>
      </c>
      <c r="JP88" s="129">
        <v>0</v>
      </c>
      <c r="JQ88" s="129">
        <v>0</v>
      </c>
      <c r="JR88" s="129">
        <v>0</v>
      </c>
      <c r="JS88" s="129">
        <v>0</v>
      </c>
      <c r="JT88" s="129">
        <v>0</v>
      </c>
      <c r="JU88" s="129">
        <v>0</v>
      </c>
      <c r="JV88" s="129">
        <v>0</v>
      </c>
      <c r="JW88" s="129">
        <v>0</v>
      </c>
      <c r="JX88" s="129">
        <v>0</v>
      </c>
      <c r="JY88" s="129">
        <v>0</v>
      </c>
      <c r="JZ88" s="129">
        <v>0</v>
      </c>
      <c r="KA88" s="129">
        <v>0</v>
      </c>
      <c r="KB88" s="129">
        <v>0</v>
      </c>
      <c r="KC88" s="129">
        <v>0</v>
      </c>
      <c r="KD88" s="129">
        <v>0</v>
      </c>
      <c r="KE88" s="129">
        <v>0</v>
      </c>
      <c r="KF88" s="129">
        <v>0</v>
      </c>
      <c r="KG88" s="129">
        <v>0</v>
      </c>
      <c r="KH88" s="129">
        <v>0</v>
      </c>
      <c r="KI88" s="129">
        <v>0</v>
      </c>
      <c r="KJ88" s="129">
        <v>0</v>
      </c>
      <c r="KK88" s="129">
        <v>0</v>
      </c>
      <c r="KL88" s="129">
        <v>0</v>
      </c>
      <c r="KM88" s="129">
        <v>0</v>
      </c>
      <c r="KN88" s="129">
        <v>0</v>
      </c>
      <c r="KO88" s="129">
        <v>0</v>
      </c>
      <c r="KP88" s="129">
        <v>0</v>
      </c>
      <c r="KQ88" s="129">
        <v>0</v>
      </c>
      <c r="KR88" s="129">
        <v>0</v>
      </c>
      <c r="KS88" s="129">
        <v>0</v>
      </c>
      <c r="KT88" s="129">
        <v>0</v>
      </c>
      <c r="KU88" s="129">
        <v>0</v>
      </c>
      <c r="KV88" s="129">
        <v>0</v>
      </c>
      <c r="KW88" s="129">
        <v>0</v>
      </c>
      <c r="KX88" s="129">
        <v>0</v>
      </c>
      <c r="KY88" s="129">
        <v>0</v>
      </c>
      <c r="KZ88" s="129">
        <v>0</v>
      </c>
      <c r="LA88" s="129">
        <v>0</v>
      </c>
      <c r="LB88" s="129">
        <v>0</v>
      </c>
      <c r="LC88" s="129">
        <v>0</v>
      </c>
      <c r="LD88" s="129">
        <v>0</v>
      </c>
      <c r="LE88" s="129">
        <v>0</v>
      </c>
      <c r="LF88" s="129">
        <v>0</v>
      </c>
      <c r="LG88" s="129">
        <v>0</v>
      </c>
      <c r="LH88" s="129">
        <v>0</v>
      </c>
      <c r="LI88" s="129">
        <v>0</v>
      </c>
      <c r="LJ88" s="129">
        <v>0</v>
      </c>
      <c r="LK88" s="129">
        <v>0</v>
      </c>
      <c r="LL88" s="129">
        <v>0</v>
      </c>
      <c r="LM88" s="129">
        <v>0</v>
      </c>
      <c r="LN88" s="129">
        <v>0</v>
      </c>
      <c r="LO88" s="129">
        <v>0</v>
      </c>
      <c r="LP88" s="129">
        <v>0</v>
      </c>
      <c r="LQ88" s="129">
        <v>0</v>
      </c>
      <c r="LR88" s="129">
        <v>0</v>
      </c>
      <c r="LS88" s="129">
        <v>0</v>
      </c>
      <c r="LT88" s="129">
        <v>0</v>
      </c>
      <c r="LU88" s="129">
        <v>0</v>
      </c>
      <c r="LV88" s="129">
        <v>0</v>
      </c>
      <c r="LW88" s="129">
        <v>0</v>
      </c>
      <c r="LX88" s="129">
        <v>0</v>
      </c>
      <c r="LY88" s="129">
        <v>0</v>
      </c>
      <c r="LZ88" s="129">
        <v>0</v>
      </c>
      <c r="MA88" s="129">
        <v>0</v>
      </c>
      <c r="MB88" s="129">
        <v>0</v>
      </c>
      <c r="MC88" s="129">
        <v>0</v>
      </c>
      <c r="MD88" s="129">
        <v>0</v>
      </c>
      <c r="ME88" s="129">
        <v>0</v>
      </c>
      <c r="MF88" s="129">
        <v>0</v>
      </c>
      <c r="MG88" s="129">
        <v>0</v>
      </c>
      <c r="MH88" s="129">
        <v>0</v>
      </c>
      <c r="MI88" s="129">
        <v>0</v>
      </c>
      <c r="MJ88" s="129">
        <v>0</v>
      </c>
      <c r="MK88" s="129">
        <v>0</v>
      </c>
      <c r="ML88" s="129">
        <v>0</v>
      </c>
      <c r="MM88" s="129">
        <v>0</v>
      </c>
      <c r="MN88" s="129">
        <v>0</v>
      </c>
      <c r="MO88" s="129">
        <v>0</v>
      </c>
      <c r="MP88" s="129">
        <v>0</v>
      </c>
      <c r="MQ88" s="129">
        <v>0</v>
      </c>
      <c r="MR88" s="129">
        <v>0</v>
      </c>
      <c r="MS88" s="129">
        <v>0</v>
      </c>
      <c r="MT88" s="129">
        <v>0</v>
      </c>
      <c r="MU88" s="129">
        <v>0</v>
      </c>
      <c r="MV88" s="129">
        <v>0</v>
      </c>
      <c r="MW88" s="129">
        <v>0</v>
      </c>
      <c r="MX88" s="129">
        <v>0</v>
      </c>
      <c r="MY88" s="129">
        <v>0</v>
      </c>
      <c r="MZ88" s="129">
        <v>0</v>
      </c>
      <c r="NA88" s="129">
        <v>0</v>
      </c>
      <c r="NB88" s="129">
        <v>0</v>
      </c>
      <c r="NC88" s="129">
        <v>0</v>
      </c>
      <c r="ND88" s="129">
        <v>0</v>
      </c>
      <c r="NE88" s="129">
        <v>0</v>
      </c>
      <c r="NF88" s="129">
        <v>0</v>
      </c>
      <c r="NG88" s="129">
        <v>0</v>
      </c>
      <c r="NH88" s="129">
        <v>0</v>
      </c>
      <c r="NI88" s="129">
        <v>0</v>
      </c>
      <c r="NJ88" s="129">
        <v>0</v>
      </c>
      <c r="NK88" s="129">
        <v>0</v>
      </c>
      <c r="NL88" s="129">
        <v>0</v>
      </c>
      <c r="NM88" s="129">
        <v>0</v>
      </c>
      <c r="NN88" s="129">
        <v>0</v>
      </c>
      <c r="NO88" s="129">
        <v>0</v>
      </c>
      <c r="NP88" s="129">
        <v>0</v>
      </c>
      <c r="NQ88" s="129">
        <v>0</v>
      </c>
      <c r="NR88" s="129">
        <v>0</v>
      </c>
      <c r="NS88" s="129">
        <v>0</v>
      </c>
      <c r="NT88" s="129">
        <v>0</v>
      </c>
      <c r="NU88" s="129">
        <v>0</v>
      </c>
      <c r="NV88" s="129">
        <v>0</v>
      </c>
      <c r="NW88" s="129">
        <v>0</v>
      </c>
      <c r="NX88" s="129">
        <v>0</v>
      </c>
      <c r="NY88" s="129">
        <v>0</v>
      </c>
      <c r="NZ88" s="129">
        <v>0</v>
      </c>
      <c r="OA88" s="129">
        <v>0</v>
      </c>
      <c r="OB88" s="129">
        <v>0</v>
      </c>
      <c r="OC88" s="129">
        <v>0</v>
      </c>
      <c r="OD88" s="129">
        <v>0</v>
      </c>
      <c r="OE88" s="129">
        <v>0</v>
      </c>
      <c r="OF88" s="129">
        <v>0</v>
      </c>
      <c r="OG88" s="129">
        <v>0</v>
      </c>
      <c r="OH88" s="133">
        <v>0</v>
      </c>
    </row>
    <row r="89" spans="1:398" x14ac:dyDescent="0.35">
      <c r="A89" s="102"/>
      <c r="B89" s="168">
        <f t="shared" si="8"/>
        <v>61</v>
      </c>
      <c r="C89" s="171" t="s">
        <v>903</v>
      </c>
      <c r="D89" s="124" t="s">
        <v>904</v>
      </c>
      <c r="E89" s="124" t="s">
        <v>909</v>
      </c>
      <c r="F89" s="125" t="s">
        <v>952</v>
      </c>
      <c r="G89" s="125" t="s">
        <v>738</v>
      </c>
      <c r="H89" s="125" t="s">
        <v>912</v>
      </c>
      <c r="I89" s="129">
        <v>0</v>
      </c>
      <c r="J89" s="129">
        <v>0</v>
      </c>
      <c r="K89" s="129">
        <v>0</v>
      </c>
      <c r="L89" s="129">
        <v>0</v>
      </c>
      <c r="M89" s="129">
        <v>0</v>
      </c>
      <c r="N89" s="129">
        <v>0</v>
      </c>
      <c r="O89" s="130">
        <f>SUM(P89,R89)</f>
        <v>0</v>
      </c>
      <c r="P89" s="129">
        <v>0</v>
      </c>
      <c r="Q89" s="129">
        <v>0</v>
      </c>
      <c r="R89" s="165"/>
      <c r="S89" s="165"/>
      <c r="T89" s="129">
        <v>0</v>
      </c>
      <c r="U89" s="129">
        <v>0</v>
      </c>
      <c r="V89" s="129">
        <v>0</v>
      </c>
      <c r="W89" s="129">
        <v>0</v>
      </c>
      <c r="X89" s="129">
        <v>0</v>
      </c>
      <c r="Y89" s="129">
        <v>0</v>
      </c>
      <c r="Z89" s="129">
        <v>0</v>
      </c>
      <c r="AA89" s="129">
        <v>0</v>
      </c>
      <c r="AB89" s="129">
        <v>0</v>
      </c>
      <c r="AC89" s="129">
        <v>0</v>
      </c>
      <c r="AD89" s="129">
        <v>0</v>
      </c>
      <c r="AE89" s="129">
        <v>0</v>
      </c>
      <c r="AF89" s="129">
        <v>0</v>
      </c>
      <c r="AG89" s="129">
        <v>0</v>
      </c>
      <c r="AH89" s="129">
        <v>0</v>
      </c>
      <c r="AI89" s="129">
        <v>0</v>
      </c>
      <c r="AJ89" s="129">
        <v>0</v>
      </c>
      <c r="AK89" s="129">
        <v>0</v>
      </c>
      <c r="AL89" s="129">
        <v>0</v>
      </c>
      <c r="AM89" s="129">
        <v>0</v>
      </c>
      <c r="AN89" s="129">
        <v>0</v>
      </c>
      <c r="AO89" s="129">
        <v>0</v>
      </c>
      <c r="AP89" s="129">
        <v>0</v>
      </c>
      <c r="AQ89" s="129">
        <v>0</v>
      </c>
      <c r="AR89" s="129">
        <v>0</v>
      </c>
      <c r="AS89" s="129">
        <v>0</v>
      </c>
      <c r="AT89" s="129">
        <v>0</v>
      </c>
      <c r="AU89" s="129">
        <v>0</v>
      </c>
      <c r="AV89" s="129">
        <v>0</v>
      </c>
      <c r="AW89" s="129">
        <v>0</v>
      </c>
      <c r="AX89" s="129">
        <v>0</v>
      </c>
      <c r="AY89" s="129">
        <v>0</v>
      </c>
      <c r="AZ89" s="129">
        <v>0</v>
      </c>
      <c r="BA89" s="129">
        <v>0</v>
      </c>
      <c r="BB89" s="129">
        <v>0</v>
      </c>
      <c r="BC89" s="129">
        <v>0</v>
      </c>
      <c r="BD89" s="129">
        <v>0</v>
      </c>
      <c r="BE89" s="129">
        <v>0</v>
      </c>
      <c r="BF89" s="129">
        <v>0</v>
      </c>
      <c r="BG89" s="129">
        <v>0</v>
      </c>
      <c r="BH89" s="129">
        <v>0</v>
      </c>
      <c r="BI89" s="129">
        <v>0</v>
      </c>
      <c r="BJ89" s="129">
        <v>0</v>
      </c>
      <c r="BK89" s="129">
        <v>0</v>
      </c>
      <c r="BL89" s="129">
        <v>0</v>
      </c>
      <c r="BM89" s="129">
        <v>0</v>
      </c>
      <c r="BN89" s="129">
        <v>0</v>
      </c>
      <c r="BO89" s="129">
        <v>0</v>
      </c>
      <c r="BP89" s="129">
        <v>0</v>
      </c>
      <c r="BQ89" s="129">
        <v>0</v>
      </c>
      <c r="BR89" s="129">
        <v>0</v>
      </c>
      <c r="BS89" s="129">
        <v>0</v>
      </c>
      <c r="BT89" s="129">
        <v>0</v>
      </c>
      <c r="BU89" s="129">
        <v>0</v>
      </c>
      <c r="BV89" s="129">
        <v>0</v>
      </c>
      <c r="BW89" s="129">
        <v>0</v>
      </c>
      <c r="BX89" s="129">
        <v>0</v>
      </c>
      <c r="BY89" s="129">
        <v>0</v>
      </c>
      <c r="BZ89" s="129">
        <v>0</v>
      </c>
      <c r="CA89" s="129">
        <v>0</v>
      </c>
      <c r="CB89" s="129">
        <v>0</v>
      </c>
      <c r="CC89" s="129">
        <v>0</v>
      </c>
      <c r="CD89" s="129">
        <v>0</v>
      </c>
      <c r="CE89" s="129">
        <v>0</v>
      </c>
      <c r="CF89" s="129">
        <v>0</v>
      </c>
      <c r="CG89" s="129">
        <v>0</v>
      </c>
      <c r="CH89" s="129">
        <v>0</v>
      </c>
      <c r="CI89" s="129">
        <v>0</v>
      </c>
      <c r="CJ89" s="129">
        <v>0</v>
      </c>
      <c r="CK89" s="129">
        <v>0</v>
      </c>
      <c r="CL89" s="129">
        <v>0</v>
      </c>
      <c r="CM89" s="129">
        <v>0</v>
      </c>
      <c r="CN89" s="129">
        <v>0</v>
      </c>
      <c r="CO89" s="129">
        <v>0</v>
      </c>
      <c r="CP89" s="129">
        <v>0</v>
      </c>
      <c r="CQ89" s="129">
        <v>0</v>
      </c>
      <c r="CR89" s="129">
        <v>0</v>
      </c>
      <c r="CS89" s="129">
        <v>0</v>
      </c>
      <c r="CT89" s="129">
        <v>0</v>
      </c>
      <c r="CU89" s="129">
        <v>0</v>
      </c>
      <c r="CV89" s="129">
        <v>0</v>
      </c>
      <c r="CW89" s="129">
        <v>0</v>
      </c>
      <c r="CX89" s="129">
        <v>0</v>
      </c>
      <c r="CY89" s="129">
        <v>0</v>
      </c>
      <c r="CZ89" s="129">
        <v>0</v>
      </c>
      <c r="DA89" s="129">
        <v>0</v>
      </c>
      <c r="DB89" s="129">
        <v>0</v>
      </c>
      <c r="DC89" s="129">
        <v>0</v>
      </c>
      <c r="DD89" s="129">
        <v>0</v>
      </c>
      <c r="DE89" s="129">
        <v>0</v>
      </c>
      <c r="DF89" s="129">
        <v>0</v>
      </c>
      <c r="DG89" s="129">
        <v>0</v>
      </c>
      <c r="DH89" s="129">
        <v>0</v>
      </c>
      <c r="DI89" s="129">
        <v>0</v>
      </c>
      <c r="DJ89" s="129">
        <v>0</v>
      </c>
      <c r="DK89" s="129">
        <v>0</v>
      </c>
      <c r="DL89" s="129">
        <v>0</v>
      </c>
      <c r="DM89" s="129">
        <v>0</v>
      </c>
      <c r="DN89" s="129">
        <v>0</v>
      </c>
      <c r="DO89" s="129">
        <v>0</v>
      </c>
      <c r="DP89" s="129">
        <v>0</v>
      </c>
      <c r="DQ89" s="129">
        <v>0</v>
      </c>
      <c r="DR89" s="129">
        <v>0</v>
      </c>
      <c r="DS89" s="129">
        <v>0</v>
      </c>
      <c r="DT89" s="129">
        <v>0</v>
      </c>
      <c r="DU89" s="129">
        <v>0</v>
      </c>
      <c r="DV89" s="129">
        <v>0</v>
      </c>
      <c r="DW89" s="129">
        <v>0</v>
      </c>
      <c r="DX89" s="129">
        <v>0</v>
      </c>
      <c r="DY89" s="129">
        <v>0</v>
      </c>
      <c r="DZ89" s="129">
        <v>0</v>
      </c>
      <c r="EA89" s="129">
        <v>0</v>
      </c>
      <c r="EB89" s="129">
        <v>0</v>
      </c>
      <c r="EC89" s="129">
        <v>0</v>
      </c>
      <c r="ED89" s="129">
        <v>0</v>
      </c>
      <c r="EE89" s="129">
        <v>0</v>
      </c>
      <c r="EF89" s="129">
        <v>0</v>
      </c>
      <c r="EG89" s="129">
        <v>0</v>
      </c>
      <c r="EH89" s="129">
        <v>0</v>
      </c>
      <c r="EI89" s="129">
        <v>0</v>
      </c>
      <c r="EJ89" s="129">
        <v>0</v>
      </c>
      <c r="EK89" s="129">
        <v>0</v>
      </c>
      <c r="EL89" s="129">
        <v>0</v>
      </c>
      <c r="EM89" s="129">
        <v>0</v>
      </c>
      <c r="EN89" s="129">
        <v>0</v>
      </c>
      <c r="EO89" s="129">
        <v>0</v>
      </c>
      <c r="EP89" s="129">
        <v>0</v>
      </c>
      <c r="EQ89" s="129">
        <v>0</v>
      </c>
      <c r="ER89" s="129">
        <v>0</v>
      </c>
      <c r="ES89" s="129">
        <v>0</v>
      </c>
      <c r="ET89" s="129">
        <v>0</v>
      </c>
      <c r="EU89" s="129">
        <v>0</v>
      </c>
      <c r="EV89" s="129">
        <v>0</v>
      </c>
      <c r="EW89" s="129">
        <v>0</v>
      </c>
      <c r="EX89" s="129">
        <v>0</v>
      </c>
      <c r="EY89" s="129">
        <v>0</v>
      </c>
      <c r="EZ89" s="129">
        <v>0</v>
      </c>
      <c r="FA89" s="129">
        <v>0</v>
      </c>
      <c r="FB89" s="129">
        <v>0</v>
      </c>
      <c r="FC89" s="129">
        <v>0</v>
      </c>
      <c r="FD89" s="129">
        <v>0</v>
      </c>
      <c r="FE89" s="129">
        <v>0</v>
      </c>
      <c r="FF89" s="129">
        <v>0</v>
      </c>
      <c r="FG89" s="129">
        <v>0</v>
      </c>
      <c r="FH89" s="129">
        <v>0</v>
      </c>
      <c r="FI89" s="129">
        <v>0</v>
      </c>
      <c r="FJ89" s="129">
        <v>0</v>
      </c>
      <c r="FK89" s="129">
        <v>0</v>
      </c>
      <c r="FL89" s="129">
        <v>0</v>
      </c>
      <c r="FM89" s="129">
        <v>0</v>
      </c>
      <c r="FN89" s="129">
        <v>0</v>
      </c>
      <c r="FO89" s="129">
        <v>0</v>
      </c>
      <c r="FP89" s="129">
        <v>0</v>
      </c>
      <c r="FQ89" s="129">
        <v>0</v>
      </c>
      <c r="FR89" s="129">
        <v>0</v>
      </c>
      <c r="FS89" s="129">
        <v>0</v>
      </c>
      <c r="FT89" s="129">
        <v>0</v>
      </c>
      <c r="FU89" s="129">
        <v>0</v>
      </c>
      <c r="FV89" s="129">
        <v>0</v>
      </c>
      <c r="FW89" s="129">
        <v>0</v>
      </c>
      <c r="FX89" s="129">
        <v>0</v>
      </c>
      <c r="FY89" s="129">
        <v>0</v>
      </c>
      <c r="FZ89" s="129">
        <v>0</v>
      </c>
      <c r="GA89" s="129">
        <v>0</v>
      </c>
      <c r="GB89" s="129">
        <v>0</v>
      </c>
      <c r="GC89" s="129">
        <v>0</v>
      </c>
      <c r="GD89" s="129">
        <v>0</v>
      </c>
      <c r="GE89" s="129">
        <v>0</v>
      </c>
      <c r="GF89" s="129">
        <v>0</v>
      </c>
      <c r="GG89" s="129">
        <v>0</v>
      </c>
      <c r="GH89" s="129">
        <v>0</v>
      </c>
      <c r="GI89" s="129">
        <v>0</v>
      </c>
      <c r="GJ89" s="129">
        <v>0</v>
      </c>
      <c r="GK89" s="129">
        <v>0</v>
      </c>
      <c r="GL89" s="129">
        <v>0</v>
      </c>
      <c r="GM89" s="129">
        <v>0</v>
      </c>
      <c r="GN89" s="129">
        <v>0</v>
      </c>
      <c r="GO89" s="129">
        <v>0</v>
      </c>
      <c r="GP89" s="129">
        <v>0</v>
      </c>
      <c r="GQ89" s="129">
        <v>0</v>
      </c>
      <c r="GR89" s="129">
        <v>0</v>
      </c>
      <c r="GS89" s="129">
        <v>0</v>
      </c>
      <c r="GT89" s="129">
        <v>0</v>
      </c>
      <c r="GU89" s="129">
        <v>0</v>
      </c>
      <c r="GV89" s="129">
        <v>0</v>
      </c>
      <c r="GW89" s="129">
        <v>0</v>
      </c>
      <c r="GX89" s="129">
        <v>0</v>
      </c>
      <c r="GY89" s="129">
        <v>0</v>
      </c>
      <c r="GZ89" s="129">
        <v>0</v>
      </c>
      <c r="HA89" s="129">
        <v>0</v>
      </c>
      <c r="HB89" s="129">
        <v>0</v>
      </c>
      <c r="HC89" s="129">
        <v>0</v>
      </c>
      <c r="HD89" s="129">
        <v>0</v>
      </c>
      <c r="HE89" s="129">
        <v>0</v>
      </c>
      <c r="HF89" s="129">
        <v>0</v>
      </c>
      <c r="HG89" s="129">
        <v>0</v>
      </c>
      <c r="HH89" s="129">
        <v>0</v>
      </c>
      <c r="HI89" s="129">
        <v>0</v>
      </c>
      <c r="HJ89" s="129">
        <v>0</v>
      </c>
      <c r="HK89" s="129">
        <v>0</v>
      </c>
      <c r="HL89" s="129">
        <v>0</v>
      </c>
      <c r="HM89" s="129">
        <v>0</v>
      </c>
      <c r="HN89" s="129">
        <v>0</v>
      </c>
      <c r="HO89" s="129">
        <v>0</v>
      </c>
      <c r="HP89" s="129">
        <v>0</v>
      </c>
      <c r="HQ89" s="129">
        <v>0</v>
      </c>
      <c r="HR89" s="129">
        <v>0</v>
      </c>
      <c r="HS89" s="129">
        <v>0</v>
      </c>
      <c r="HT89" s="129">
        <v>0</v>
      </c>
      <c r="HU89" s="129">
        <v>0</v>
      </c>
      <c r="HV89" s="129">
        <v>0</v>
      </c>
      <c r="HW89" s="129">
        <v>0</v>
      </c>
      <c r="HX89" s="129">
        <v>0</v>
      </c>
      <c r="HY89" s="129">
        <v>0</v>
      </c>
      <c r="HZ89" s="129">
        <v>0</v>
      </c>
      <c r="IA89" s="129">
        <v>0</v>
      </c>
      <c r="IB89" s="129">
        <v>0</v>
      </c>
      <c r="IC89" s="129">
        <v>0</v>
      </c>
      <c r="ID89" s="129">
        <v>0</v>
      </c>
      <c r="IE89" s="129">
        <v>0</v>
      </c>
      <c r="IF89" s="129">
        <v>0</v>
      </c>
      <c r="IG89" s="129">
        <v>0</v>
      </c>
      <c r="IH89" s="129">
        <v>0</v>
      </c>
      <c r="II89" s="129">
        <v>0</v>
      </c>
      <c r="IJ89" s="129">
        <v>0</v>
      </c>
      <c r="IK89" s="129">
        <v>0</v>
      </c>
      <c r="IL89" s="129">
        <v>0</v>
      </c>
      <c r="IM89" s="129">
        <v>0</v>
      </c>
      <c r="IN89" s="129">
        <v>0</v>
      </c>
      <c r="IO89" s="129">
        <v>0</v>
      </c>
      <c r="IP89" s="129">
        <v>0</v>
      </c>
      <c r="IQ89" s="129">
        <v>0</v>
      </c>
      <c r="IR89" s="129">
        <v>0</v>
      </c>
      <c r="IS89" s="129">
        <v>0</v>
      </c>
      <c r="IT89" s="129">
        <v>0</v>
      </c>
      <c r="IU89" s="129">
        <v>0</v>
      </c>
      <c r="IV89" s="129">
        <v>0</v>
      </c>
      <c r="IW89" s="129">
        <v>0</v>
      </c>
      <c r="IX89" s="129">
        <v>0</v>
      </c>
      <c r="IY89" s="129">
        <v>0</v>
      </c>
      <c r="IZ89" s="129">
        <v>0</v>
      </c>
      <c r="JA89" s="129">
        <v>0</v>
      </c>
      <c r="JB89" s="129">
        <v>0</v>
      </c>
      <c r="JC89" s="129">
        <v>0</v>
      </c>
      <c r="JD89" s="129">
        <v>0</v>
      </c>
      <c r="JE89" s="129">
        <v>0</v>
      </c>
      <c r="JF89" s="129">
        <v>0</v>
      </c>
      <c r="JG89" s="129">
        <v>0</v>
      </c>
      <c r="JH89" s="129">
        <v>0</v>
      </c>
      <c r="JI89" s="129">
        <v>0</v>
      </c>
      <c r="JJ89" s="129">
        <v>0</v>
      </c>
      <c r="JK89" s="129">
        <v>0</v>
      </c>
      <c r="JL89" s="129">
        <v>0</v>
      </c>
      <c r="JM89" s="129">
        <v>0</v>
      </c>
      <c r="JN89" s="129">
        <v>0</v>
      </c>
      <c r="JO89" s="129">
        <v>0</v>
      </c>
      <c r="JP89" s="129">
        <v>0</v>
      </c>
      <c r="JQ89" s="129">
        <v>0</v>
      </c>
      <c r="JR89" s="129">
        <v>0</v>
      </c>
      <c r="JS89" s="129">
        <v>0</v>
      </c>
      <c r="JT89" s="129">
        <v>0</v>
      </c>
      <c r="JU89" s="129">
        <v>0</v>
      </c>
      <c r="JV89" s="129">
        <v>0</v>
      </c>
      <c r="JW89" s="129">
        <v>0</v>
      </c>
      <c r="JX89" s="129">
        <v>0</v>
      </c>
      <c r="JY89" s="129">
        <v>0</v>
      </c>
      <c r="JZ89" s="129">
        <v>0</v>
      </c>
      <c r="KA89" s="129">
        <v>0</v>
      </c>
      <c r="KB89" s="129">
        <v>0</v>
      </c>
      <c r="KC89" s="129">
        <v>0</v>
      </c>
      <c r="KD89" s="129">
        <v>0</v>
      </c>
      <c r="KE89" s="129">
        <v>0</v>
      </c>
      <c r="KF89" s="129">
        <v>0</v>
      </c>
      <c r="KG89" s="129">
        <v>0</v>
      </c>
      <c r="KH89" s="129">
        <v>0</v>
      </c>
      <c r="KI89" s="129">
        <v>0</v>
      </c>
      <c r="KJ89" s="129">
        <v>0</v>
      </c>
      <c r="KK89" s="129">
        <v>0</v>
      </c>
      <c r="KL89" s="129">
        <v>0</v>
      </c>
      <c r="KM89" s="129">
        <v>0</v>
      </c>
      <c r="KN89" s="129">
        <v>0</v>
      </c>
      <c r="KO89" s="129">
        <v>0</v>
      </c>
      <c r="KP89" s="129">
        <v>0</v>
      </c>
      <c r="KQ89" s="129">
        <v>0</v>
      </c>
      <c r="KR89" s="129">
        <v>0</v>
      </c>
      <c r="KS89" s="129">
        <v>0</v>
      </c>
      <c r="KT89" s="129">
        <v>0</v>
      </c>
      <c r="KU89" s="129">
        <v>0</v>
      </c>
      <c r="KV89" s="129">
        <v>0</v>
      </c>
      <c r="KW89" s="129">
        <v>0</v>
      </c>
      <c r="KX89" s="129">
        <v>0</v>
      </c>
      <c r="KY89" s="129">
        <v>0</v>
      </c>
      <c r="KZ89" s="129">
        <v>0</v>
      </c>
      <c r="LA89" s="129">
        <v>0</v>
      </c>
      <c r="LB89" s="129">
        <v>0</v>
      </c>
      <c r="LC89" s="129">
        <v>0</v>
      </c>
      <c r="LD89" s="129">
        <v>0</v>
      </c>
      <c r="LE89" s="129">
        <v>0</v>
      </c>
      <c r="LF89" s="129">
        <v>0</v>
      </c>
      <c r="LG89" s="129">
        <v>0</v>
      </c>
      <c r="LH89" s="129">
        <v>0</v>
      </c>
      <c r="LI89" s="129">
        <v>0</v>
      </c>
      <c r="LJ89" s="129">
        <v>0</v>
      </c>
      <c r="LK89" s="129">
        <v>0</v>
      </c>
      <c r="LL89" s="129">
        <v>0</v>
      </c>
      <c r="LM89" s="129">
        <v>0</v>
      </c>
      <c r="LN89" s="129">
        <v>0</v>
      </c>
      <c r="LO89" s="129">
        <v>0</v>
      </c>
      <c r="LP89" s="129">
        <v>0</v>
      </c>
      <c r="LQ89" s="129">
        <v>0</v>
      </c>
      <c r="LR89" s="129">
        <v>0</v>
      </c>
      <c r="LS89" s="129">
        <v>0</v>
      </c>
      <c r="LT89" s="129">
        <v>0</v>
      </c>
      <c r="LU89" s="129">
        <v>0</v>
      </c>
      <c r="LV89" s="129">
        <v>0</v>
      </c>
      <c r="LW89" s="129">
        <v>0</v>
      </c>
      <c r="LX89" s="129">
        <v>0</v>
      </c>
      <c r="LY89" s="129">
        <v>0</v>
      </c>
      <c r="LZ89" s="129">
        <v>0</v>
      </c>
      <c r="MA89" s="129">
        <v>0</v>
      </c>
      <c r="MB89" s="129">
        <v>0</v>
      </c>
      <c r="MC89" s="129">
        <v>0</v>
      </c>
      <c r="MD89" s="129">
        <v>0</v>
      </c>
      <c r="ME89" s="129">
        <v>0</v>
      </c>
      <c r="MF89" s="129">
        <v>0</v>
      </c>
      <c r="MG89" s="129">
        <v>0</v>
      </c>
      <c r="MH89" s="129">
        <v>0</v>
      </c>
      <c r="MI89" s="129">
        <v>0</v>
      </c>
      <c r="MJ89" s="129">
        <v>0</v>
      </c>
      <c r="MK89" s="129">
        <v>0</v>
      </c>
      <c r="ML89" s="129">
        <v>0</v>
      </c>
      <c r="MM89" s="129">
        <v>0</v>
      </c>
      <c r="MN89" s="129">
        <v>0</v>
      </c>
      <c r="MO89" s="129">
        <v>0</v>
      </c>
      <c r="MP89" s="129">
        <v>0</v>
      </c>
      <c r="MQ89" s="129">
        <v>0</v>
      </c>
      <c r="MR89" s="129">
        <v>0</v>
      </c>
      <c r="MS89" s="129">
        <v>0</v>
      </c>
      <c r="MT89" s="129">
        <v>0</v>
      </c>
      <c r="MU89" s="129">
        <v>0</v>
      </c>
      <c r="MV89" s="129">
        <v>0</v>
      </c>
      <c r="MW89" s="129">
        <v>0</v>
      </c>
      <c r="MX89" s="129">
        <v>0</v>
      </c>
      <c r="MY89" s="129">
        <v>0</v>
      </c>
      <c r="MZ89" s="129">
        <v>0</v>
      </c>
      <c r="NA89" s="129">
        <v>0</v>
      </c>
      <c r="NB89" s="129">
        <v>0</v>
      </c>
      <c r="NC89" s="129">
        <v>0</v>
      </c>
      <c r="ND89" s="129">
        <v>0</v>
      </c>
      <c r="NE89" s="129">
        <v>0</v>
      </c>
      <c r="NF89" s="129">
        <v>0</v>
      </c>
      <c r="NG89" s="129">
        <v>0</v>
      </c>
      <c r="NH89" s="129">
        <v>0</v>
      </c>
      <c r="NI89" s="129">
        <v>0</v>
      </c>
      <c r="NJ89" s="129">
        <v>0</v>
      </c>
      <c r="NK89" s="129">
        <v>0</v>
      </c>
      <c r="NL89" s="129">
        <v>0</v>
      </c>
      <c r="NM89" s="129">
        <v>0</v>
      </c>
      <c r="NN89" s="129">
        <v>0</v>
      </c>
      <c r="NO89" s="129">
        <v>0</v>
      </c>
      <c r="NP89" s="129">
        <v>0</v>
      </c>
      <c r="NQ89" s="129">
        <v>0</v>
      </c>
      <c r="NR89" s="129">
        <v>0</v>
      </c>
      <c r="NS89" s="129">
        <v>0</v>
      </c>
      <c r="NT89" s="129">
        <v>0</v>
      </c>
      <c r="NU89" s="129">
        <v>0</v>
      </c>
      <c r="NV89" s="129">
        <v>0</v>
      </c>
      <c r="NW89" s="129">
        <v>0</v>
      </c>
      <c r="NX89" s="129">
        <v>0</v>
      </c>
      <c r="NY89" s="129">
        <v>0</v>
      </c>
      <c r="NZ89" s="129">
        <v>0</v>
      </c>
      <c r="OA89" s="129">
        <v>0</v>
      </c>
      <c r="OB89" s="129">
        <v>0</v>
      </c>
      <c r="OC89" s="129">
        <v>0</v>
      </c>
      <c r="OD89" s="129">
        <v>0</v>
      </c>
      <c r="OE89" s="129">
        <v>0</v>
      </c>
      <c r="OF89" s="129">
        <v>0</v>
      </c>
      <c r="OG89" s="129">
        <v>0</v>
      </c>
      <c r="OH89" s="133">
        <v>0</v>
      </c>
    </row>
    <row r="90" spans="1:398" ht="15" thickBot="1" x14ac:dyDescent="0.4">
      <c r="A90" s="102"/>
      <c r="B90" s="168">
        <f t="shared" si="8"/>
        <v>62</v>
      </c>
      <c r="C90" s="171" t="s">
        <v>903</v>
      </c>
      <c r="D90" s="124" t="s">
        <v>904</v>
      </c>
      <c r="E90" s="124" t="s">
        <v>915</v>
      </c>
      <c r="F90" s="125" t="s">
        <v>738</v>
      </c>
      <c r="G90" s="125" t="s">
        <v>738</v>
      </c>
      <c r="H90" s="125" t="s">
        <v>738</v>
      </c>
      <c r="I90" s="134">
        <f>SUM(I86:I89)</f>
        <v>0</v>
      </c>
      <c r="J90" s="134">
        <f>SUM(J86:J89)</f>
        <v>0</v>
      </c>
      <c r="K90" s="134">
        <f t="shared" ref="K90:BS90" si="51">SUM(K86:K89)</f>
        <v>0</v>
      </c>
      <c r="L90" s="134">
        <f t="shared" si="51"/>
        <v>0</v>
      </c>
      <c r="M90" s="134">
        <f t="shared" si="51"/>
        <v>0</v>
      </c>
      <c r="N90" s="134">
        <f t="shared" si="51"/>
        <v>0</v>
      </c>
      <c r="O90" s="134">
        <f t="shared" si="51"/>
        <v>0</v>
      </c>
      <c r="P90" s="134">
        <f t="shared" si="51"/>
        <v>0</v>
      </c>
      <c r="Q90" s="134">
        <f t="shared" si="51"/>
        <v>0</v>
      </c>
      <c r="R90" s="134">
        <f t="shared" si="51"/>
        <v>0</v>
      </c>
      <c r="S90" s="134">
        <f t="shared" ref="S90" si="52">SUM(S86:S89)</f>
        <v>0</v>
      </c>
      <c r="T90" s="134">
        <f t="shared" si="51"/>
        <v>0</v>
      </c>
      <c r="U90" s="134">
        <f t="shared" si="51"/>
        <v>0</v>
      </c>
      <c r="V90" s="134">
        <f t="shared" si="51"/>
        <v>0</v>
      </c>
      <c r="W90" s="134">
        <f t="shared" si="51"/>
        <v>0</v>
      </c>
      <c r="X90" s="134">
        <f t="shared" si="51"/>
        <v>0</v>
      </c>
      <c r="Y90" s="134">
        <f t="shared" si="51"/>
        <v>0</v>
      </c>
      <c r="Z90" s="134">
        <f t="shared" si="51"/>
        <v>0</v>
      </c>
      <c r="AA90" s="134">
        <f t="shared" si="51"/>
        <v>0</v>
      </c>
      <c r="AB90" s="134">
        <f t="shared" si="51"/>
        <v>0</v>
      </c>
      <c r="AC90" s="134">
        <f t="shared" si="51"/>
        <v>0</v>
      </c>
      <c r="AD90" s="134">
        <f t="shared" si="51"/>
        <v>0</v>
      </c>
      <c r="AE90" s="134">
        <f t="shared" si="51"/>
        <v>0</v>
      </c>
      <c r="AF90" s="134">
        <f t="shared" si="51"/>
        <v>0</v>
      </c>
      <c r="AG90" s="134">
        <f t="shared" si="51"/>
        <v>0</v>
      </c>
      <c r="AH90" s="134">
        <f t="shared" si="51"/>
        <v>0</v>
      </c>
      <c r="AI90" s="134">
        <f t="shared" si="51"/>
        <v>0</v>
      </c>
      <c r="AJ90" s="134">
        <f t="shared" si="51"/>
        <v>0</v>
      </c>
      <c r="AK90" s="134">
        <f t="shared" si="51"/>
        <v>0</v>
      </c>
      <c r="AL90" s="134">
        <f t="shared" si="51"/>
        <v>0</v>
      </c>
      <c r="AM90" s="134">
        <f t="shared" si="51"/>
        <v>0</v>
      </c>
      <c r="AN90" s="134">
        <f t="shared" si="51"/>
        <v>0</v>
      </c>
      <c r="AO90" s="134">
        <f t="shared" si="51"/>
        <v>0</v>
      </c>
      <c r="AP90" s="134">
        <f t="shared" si="51"/>
        <v>0</v>
      </c>
      <c r="AQ90" s="134">
        <f t="shared" si="51"/>
        <v>0</v>
      </c>
      <c r="AR90" s="134">
        <f t="shared" si="51"/>
        <v>0</v>
      </c>
      <c r="AS90" s="134">
        <f t="shared" si="51"/>
        <v>0</v>
      </c>
      <c r="AT90" s="134">
        <f t="shared" si="51"/>
        <v>0</v>
      </c>
      <c r="AU90" s="134">
        <f t="shared" si="51"/>
        <v>0</v>
      </c>
      <c r="AV90" s="134">
        <f t="shared" si="51"/>
        <v>0</v>
      </c>
      <c r="AW90" s="134">
        <f t="shared" si="51"/>
        <v>0</v>
      </c>
      <c r="AX90" s="134">
        <f t="shared" si="51"/>
        <v>0</v>
      </c>
      <c r="AY90" s="134">
        <f t="shared" si="51"/>
        <v>0</v>
      </c>
      <c r="AZ90" s="134">
        <f t="shared" si="51"/>
        <v>0</v>
      </c>
      <c r="BA90" s="134">
        <f t="shared" si="51"/>
        <v>0</v>
      </c>
      <c r="BB90" s="134">
        <f t="shared" si="51"/>
        <v>0</v>
      </c>
      <c r="BC90" s="134">
        <f t="shared" si="51"/>
        <v>0</v>
      </c>
      <c r="BD90" s="134">
        <f t="shared" si="51"/>
        <v>0</v>
      </c>
      <c r="BE90" s="134">
        <f t="shared" si="51"/>
        <v>0</v>
      </c>
      <c r="BF90" s="134">
        <f t="shared" si="51"/>
        <v>0</v>
      </c>
      <c r="BG90" s="134">
        <f t="shared" si="51"/>
        <v>0</v>
      </c>
      <c r="BH90" s="134">
        <f t="shared" si="51"/>
        <v>0</v>
      </c>
      <c r="BI90" s="134">
        <f t="shared" si="51"/>
        <v>0</v>
      </c>
      <c r="BJ90" s="134">
        <f t="shared" si="51"/>
        <v>0</v>
      </c>
      <c r="BK90" s="134">
        <f t="shared" si="51"/>
        <v>0</v>
      </c>
      <c r="BL90" s="134">
        <f t="shared" si="51"/>
        <v>0</v>
      </c>
      <c r="BM90" s="134">
        <f t="shared" si="51"/>
        <v>0</v>
      </c>
      <c r="BN90" s="134">
        <f t="shared" si="51"/>
        <v>0</v>
      </c>
      <c r="BO90" s="134">
        <f t="shared" si="51"/>
        <v>0</v>
      </c>
      <c r="BP90" s="134">
        <f t="shared" si="51"/>
        <v>0</v>
      </c>
      <c r="BQ90" s="134">
        <f t="shared" si="51"/>
        <v>0</v>
      </c>
      <c r="BR90" s="134">
        <f t="shared" si="51"/>
        <v>0</v>
      </c>
      <c r="BS90" s="134">
        <f t="shared" si="51"/>
        <v>0</v>
      </c>
      <c r="BT90" s="134">
        <f t="shared" ref="BT90:EE90" si="53">SUM(BT86:BT89)</f>
        <v>0</v>
      </c>
      <c r="BU90" s="134">
        <f t="shared" si="53"/>
        <v>0</v>
      </c>
      <c r="BV90" s="134">
        <f t="shared" si="53"/>
        <v>0</v>
      </c>
      <c r="BW90" s="134">
        <f t="shared" si="53"/>
        <v>0</v>
      </c>
      <c r="BX90" s="134">
        <f t="shared" si="53"/>
        <v>0</v>
      </c>
      <c r="BY90" s="134">
        <f t="shared" si="53"/>
        <v>0</v>
      </c>
      <c r="BZ90" s="134">
        <f t="shared" si="53"/>
        <v>0</v>
      </c>
      <c r="CA90" s="134">
        <f t="shared" si="53"/>
        <v>0</v>
      </c>
      <c r="CB90" s="134">
        <f t="shared" si="53"/>
        <v>0</v>
      </c>
      <c r="CC90" s="134">
        <f t="shared" si="53"/>
        <v>0</v>
      </c>
      <c r="CD90" s="134">
        <f t="shared" si="53"/>
        <v>0</v>
      </c>
      <c r="CE90" s="134">
        <f t="shared" si="53"/>
        <v>0</v>
      </c>
      <c r="CF90" s="134">
        <f t="shared" si="53"/>
        <v>0</v>
      </c>
      <c r="CG90" s="134">
        <f t="shared" si="53"/>
        <v>0</v>
      </c>
      <c r="CH90" s="134">
        <f t="shared" si="53"/>
        <v>0</v>
      </c>
      <c r="CI90" s="134">
        <f t="shared" si="53"/>
        <v>0</v>
      </c>
      <c r="CJ90" s="134">
        <f t="shared" si="53"/>
        <v>0</v>
      </c>
      <c r="CK90" s="134">
        <f t="shared" si="53"/>
        <v>0</v>
      </c>
      <c r="CL90" s="134">
        <f t="shared" si="53"/>
        <v>0</v>
      </c>
      <c r="CM90" s="134">
        <f t="shared" si="53"/>
        <v>0</v>
      </c>
      <c r="CN90" s="134">
        <f t="shared" si="53"/>
        <v>0</v>
      </c>
      <c r="CO90" s="134">
        <f t="shared" si="53"/>
        <v>0</v>
      </c>
      <c r="CP90" s="134">
        <f t="shared" si="53"/>
        <v>0</v>
      </c>
      <c r="CQ90" s="134">
        <f t="shared" si="53"/>
        <v>0</v>
      </c>
      <c r="CR90" s="134">
        <f t="shared" si="53"/>
        <v>0</v>
      </c>
      <c r="CS90" s="134">
        <f t="shared" si="53"/>
        <v>0</v>
      </c>
      <c r="CT90" s="134">
        <f t="shared" si="53"/>
        <v>0</v>
      </c>
      <c r="CU90" s="134">
        <f t="shared" si="53"/>
        <v>0</v>
      </c>
      <c r="CV90" s="134">
        <f t="shared" si="53"/>
        <v>0</v>
      </c>
      <c r="CW90" s="134">
        <f t="shared" si="53"/>
        <v>0</v>
      </c>
      <c r="CX90" s="134">
        <f t="shared" si="53"/>
        <v>0</v>
      </c>
      <c r="CY90" s="134">
        <f t="shared" si="53"/>
        <v>0</v>
      </c>
      <c r="CZ90" s="134">
        <f t="shared" si="53"/>
        <v>0</v>
      </c>
      <c r="DA90" s="134">
        <f t="shared" si="53"/>
        <v>0</v>
      </c>
      <c r="DB90" s="134">
        <f t="shared" si="53"/>
        <v>0</v>
      </c>
      <c r="DC90" s="134">
        <f t="shared" si="53"/>
        <v>0</v>
      </c>
      <c r="DD90" s="134">
        <f t="shared" si="53"/>
        <v>0</v>
      </c>
      <c r="DE90" s="134">
        <f t="shared" si="53"/>
        <v>0</v>
      </c>
      <c r="DF90" s="134">
        <f t="shared" si="53"/>
        <v>0</v>
      </c>
      <c r="DG90" s="134">
        <f t="shared" si="53"/>
        <v>0</v>
      </c>
      <c r="DH90" s="134">
        <f t="shared" si="53"/>
        <v>0</v>
      </c>
      <c r="DI90" s="134">
        <f t="shared" si="53"/>
        <v>0</v>
      </c>
      <c r="DJ90" s="134">
        <f t="shared" si="53"/>
        <v>0</v>
      </c>
      <c r="DK90" s="134">
        <f t="shared" si="53"/>
        <v>0</v>
      </c>
      <c r="DL90" s="134">
        <f t="shared" si="53"/>
        <v>0</v>
      </c>
      <c r="DM90" s="134">
        <f t="shared" si="53"/>
        <v>0</v>
      </c>
      <c r="DN90" s="134">
        <f t="shared" si="53"/>
        <v>0</v>
      </c>
      <c r="DO90" s="134">
        <f t="shared" si="53"/>
        <v>0</v>
      </c>
      <c r="DP90" s="134">
        <f t="shared" si="53"/>
        <v>0</v>
      </c>
      <c r="DQ90" s="134">
        <f t="shared" si="53"/>
        <v>0</v>
      </c>
      <c r="DR90" s="134">
        <f t="shared" si="53"/>
        <v>0</v>
      </c>
      <c r="DS90" s="134">
        <f t="shared" si="53"/>
        <v>0</v>
      </c>
      <c r="DT90" s="134">
        <f t="shared" si="53"/>
        <v>0</v>
      </c>
      <c r="DU90" s="134">
        <f t="shared" si="53"/>
        <v>0</v>
      </c>
      <c r="DV90" s="134">
        <f t="shared" si="53"/>
        <v>0</v>
      </c>
      <c r="DW90" s="134">
        <f t="shared" si="53"/>
        <v>0</v>
      </c>
      <c r="DX90" s="134">
        <f t="shared" si="53"/>
        <v>0</v>
      </c>
      <c r="DY90" s="134">
        <f t="shared" si="53"/>
        <v>0</v>
      </c>
      <c r="DZ90" s="134">
        <f t="shared" si="53"/>
        <v>0</v>
      </c>
      <c r="EA90" s="134">
        <f t="shared" si="53"/>
        <v>0</v>
      </c>
      <c r="EB90" s="134">
        <f t="shared" si="53"/>
        <v>0</v>
      </c>
      <c r="EC90" s="134">
        <f t="shared" si="53"/>
        <v>0</v>
      </c>
      <c r="ED90" s="134">
        <f t="shared" si="53"/>
        <v>0</v>
      </c>
      <c r="EE90" s="134">
        <f t="shared" si="53"/>
        <v>0</v>
      </c>
      <c r="EF90" s="134">
        <f t="shared" ref="EF90:GQ90" si="54">SUM(EF86:EF89)</f>
        <v>0</v>
      </c>
      <c r="EG90" s="134">
        <f t="shared" si="54"/>
        <v>0</v>
      </c>
      <c r="EH90" s="134">
        <f t="shared" si="54"/>
        <v>0</v>
      </c>
      <c r="EI90" s="134">
        <f t="shared" si="54"/>
        <v>0</v>
      </c>
      <c r="EJ90" s="134">
        <f t="shared" si="54"/>
        <v>0</v>
      </c>
      <c r="EK90" s="134">
        <f t="shared" si="54"/>
        <v>0</v>
      </c>
      <c r="EL90" s="134">
        <f t="shared" ref="EL90" si="55">SUM(EL86:EL89)</f>
        <v>0</v>
      </c>
      <c r="EM90" s="134">
        <f t="shared" si="54"/>
        <v>0</v>
      </c>
      <c r="EN90" s="134">
        <f t="shared" si="54"/>
        <v>0</v>
      </c>
      <c r="EO90" s="134">
        <f t="shared" si="54"/>
        <v>0</v>
      </c>
      <c r="EP90" s="134">
        <f t="shared" si="54"/>
        <v>0</v>
      </c>
      <c r="EQ90" s="134">
        <f t="shared" si="54"/>
        <v>0</v>
      </c>
      <c r="ER90" s="134">
        <f t="shared" si="54"/>
        <v>0</v>
      </c>
      <c r="ES90" s="134">
        <f t="shared" si="54"/>
        <v>0</v>
      </c>
      <c r="ET90" s="134">
        <f t="shared" si="54"/>
        <v>0</v>
      </c>
      <c r="EU90" s="134">
        <f t="shared" si="54"/>
        <v>0</v>
      </c>
      <c r="EV90" s="134">
        <f t="shared" si="54"/>
        <v>0</v>
      </c>
      <c r="EW90" s="134">
        <f t="shared" si="54"/>
        <v>0</v>
      </c>
      <c r="EX90" s="134">
        <f t="shared" si="54"/>
        <v>0</v>
      </c>
      <c r="EY90" s="134">
        <f t="shared" si="54"/>
        <v>0</v>
      </c>
      <c r="EZ90" s="134">
        <f t="shared" si="54"/>
        <v>0</v>
      </c>
      <c r="FA90" s="134">
        <f t="shared" si="54"/>
        <v>0</v>
      </c>
      <c r="FB90" s="134">
        <f t="shared" si="54"/>
        <v>0</v>
      </c>
      <c r="FC90" s="134">
        <f t="shared" si="54"/>
        <v>0</v>
      </c>
      <c r="FD90" s="134">
        <f t="shared" si="54"/>
        <v>0</v>
      </c>
      <c r="FE90" s="134">
        <f t="shared" si="54"/>
        <v>0</v>
      </c>
      <c r="FF90" s="134">
        <f t="shared" si="54"/>
        <v>0</v>
      </c>
      <c r="FG90" s="134">
        <f t="shared" si="54"/>
        <v>0</v>
      </c>
      <c r="FH90" s="134">
        <f t="shared" si="54"/>
        <v>0</v>
      </c>
      <c r="FI90" s="134">
        <f t="shared" si="54"/>
        <v>0</v>
      </c>
      <c r="FJ90" s="134">
        <f t="shared" si="54"/>
        <v>0</v>
      </c>
      <c r="FK90" s="134">
        <f t="shared" si="54"/>
        <v>0</v>
      </c>
      <c r="FL90" s="134">
        <f t="shared" si="54"/>
        <v>0</v>
      </c>
      <c r="FM90" s="134">
        <f t="shared" si="54"/>
        <v>0</v>
      </c>
      <c r="FN90" s="134">
        <f t="shared" si="54"/>
        <v>0</v>
      </c>
      <c r="FO90" s="134">
        <f t="shared" si="54"/>
        <v>0</v>
      </c>
      <c r="FP90" s="134">
        <f t="shared" si="54"/>
        <v>0</v>
      </c>
      <c r="FQ90" s="134">
        <f t="shared" si="54"/>
        <v>0</v>
      </c>
      <c r="FR90" s="134">
        <f t="shared" si="54"/>
        <v>0</v>
      </c>
      <c r="FS90" s="134">
        <f t="shared" si="54"/>
        <v>0</v>
      </c>
      <c r="FT90" s="134">
        <f t="shared" si="54"/>
        <v>0</v>
      </c>
      <c r="FU90" s="134">
        <f t="shared" si="54"/>
        <v>0</v>
      </c>
      <c r="FV90" s="134">
        <f t="shared" si="54"/>
        <v>0</v>
      </c>
      <c r="FW90" s="134">
        <f t="shared" si="54"/>
        <v>0</v>
      </c>
      <c r="FX90" s="134">
        <f t="shared" si="54"/>
        <v>0</v>
      </c>
      <c r="FY90" s="134">
        <f t="shared" si="54"/>
        <v>0</v>
      </c>
      <c r="FZ90" s="134">
        <f t="shared" si="54"/>
        <v>0</v>
      </c>
      <c r="GA90" s="134">
        <f t="shared" si="54"/>
        <v>0</v>
      </c>
      <c r="GB90" s="134">
        <f t="shared" si="54"/>
        <v>0</v>
      </c>
      <c r="GC90" s="134">
        <f t="shared" si="54"/>
        <v>0</v>
      </c>
      <c r="GD90" s="134">
        <f t="shared" si="54"/>
        <v>0</v>
      </c>
      <c r="GE90" s="134">
        <f t="shared" si="54"/>
        <v>0</v>
      </c>
      <c r="GF90" s="134">
        <f t="shared" si="54"/>
        <v>0</v>
      </c>
      <c r="GG90" s="134">
        <f t="shared" si="54"/>
        <v>0</v>
      </c>
      <c r="GH90" s="134">
        <f t="shared" si="54"/>
        <v>0</v>
      </c>
      <c r="GI90" s="134">
        <f t="shared" si="54"/>
        <v>0</v>
      </c>
      <c r="GJ90" s="134">
        <f t="shared" si="54"/>
        <v>0</v>
      </c>
      <c r="GK90" s="134">
        <f t="shared" si="54"/>
        <v>0</v>
      </c>
      <c r="GL90" s="134">
        <f t="shared" si="54"/>
        <v>0</v>
      </c>
      <c r="GM90" s="134">
        <f t="shared" si="54"/>
        <v>0</v>
      </c>
      <c r="GN90" s="134">
        <f t="shared" si="54"/>
        <v>0</v>
      </c>
      <c r="GO90" s="134">
        <f t="shared" si="54"/>
        <v>0</v>
      </c>
      <c r="GP90" s="134">
        <f t="shared" si="54"/>
        <v>0</v>
      </c>
      <c r="GQ90" s="134">
        <f t="shared" si="54"/>
        <v>0</v>
      </c>
      <c r="GR90" s="134">
        <f t="shared" ref="GR90:JD90" si="56">SUM(GR86:GR89)</f>
        <v>0</v>
      </c>
      <c r="GS90" s="134">
        <f t="shared" si="56"/>
        <v>0</v>
      </c>
      <c r="GT90" s="134">
        <f t="shared" si="56"/>
        <v>0</v>
      </c>
      <c r="GU90" s="134">
        <f t="shared" si="56"/>
        <v>0</v>
      </c>
      <c r="GV90" s="134">
        <f t="shared" si="56"/>
        <v>0</v>
      </c>
      <c r="GW90" s="134">
        <f t="shared" si="56"/>
        <v>0</v>
      </c>
      <c r="GX90" s="134">
        <f t="shared" si="56"/>
        <v>0</v>
      </c>
      <c r="GY90" s="134">
        <f t="shared" si="56"/>
        <v>0</v>
      </c>
      <c r="GZ90" s="134">
        <f t="shared" si="56"/>
        <v>0</v>
      </c>
      <c r="HA90" s="134">
        <f t="shared" si="56"/>
        <v>0</v>
      </c>
      <c r="HB90" s="134">
        <f t="shared" si="56"/>
        <v>0</v>
      </c>
      <c r="HC90" s="134">
        <f t="shared" si="56"/>
        <v>0</v>
      </c>
      <c r="HD90" s="134">
        <f t="shared" si="56"/>
        <v>0</v>
      </c>
      <c r="HE90" s="134">
        <f t="shared" si="56"/>
        <v>0</v>
      </c>
      <c r="HF90" s="134">
        <f t="shared" si="56"/>
        <v>0</v>
      </c>
      <c r="HG90" s="134">
        <f t="shared" si="56"/>
        <v>0</v>
      </c>
      <c r="HH90" s="134">
        <f t="shared" si="56"/>
        <v>0</v>
      </c>
      <c r="HI90" s="134">
        <f t="shared" si="56"/>
        <v>0</v>
      </c>
      <c r="HJ90" s="134">
        <f t="shared" si="56"/>
        <v>0</v>
      </c>
      <c r="HK90" s="134">
        <f t="shared" si="56"/>
        <v>0</v>
      </c>
      <c r="HL90" s="134">
        <f t="shared" si="56"/>
        <v>0</v>
      </c>
      <c r="HM90" s="134">
        <f t="shared" si="56"/>
        <v>0</v>
      </c>
      <c r="HN90" s="134">
        <f t="shared" si="56"/>
        <v>0</v>
      </c>
      <c r="HO90" s="134">
        <f t="shared" si="56"/>
        <v>0</v>
      </c>
      <c r="HP90" s="134">
        <f t="shared" si="56"/>
        <v>0</v>
      </c>
      <c r="HQ90" s="134">
        <f t="shared" si="56"/>
        <v>0</v>
      </c>
      <c r="HR90" s="134">
        <f t="shared" si="56"/>
        <v>0</v>
      </c>
      <c r="HS90" s="134">
        <f t="shared" si="56"/>
        <v>0</v>
      </c>
      <c r="HT90" s="134">
        <f t="shared" si="56"/>
        <v>0</v>
      </c>
      <c r="HU90" s="134">
        <f t="shared" si="56"/>
        <v>0</v>
      </c>
      <c r="HV90" s="134">
        <f t="shared" si="56"/>
        <v>0</v>
      </c>
      <c r="HW90" s="134">
        <f t="shared" si="56"/>
        <v>0</v>
      </c>
      <c r="HX90" s="134">
        <f t="shared" si="56"/>
        <v>0</v>
      </c>
      <c r="HY90" s="134">
        <f t="shared" si="56"/>
        <v>0</v>
      </c>
      <c r="HZ90" s="134">
        <f t="shared" si="56"/>
        <v>0</v>
      </c>
      <c r="IA90" s="134">
        <f t="shared" si="56"/>
        <v>0</v>
      </c>
      <c r="IB90" s="134">
        <f t="shared" si="56"/>
        <v>0</v>
      </c>
      <c r="IC90" s="134">
        <f t="shared" si="56"/>
        <v>0</v>
      </c>
      <c r="ID90" s="134">
        <f t="shared" si="56"/>
        <v>0</v>
      </c>
      <c r="IE90" s="134">
        <f t="shared" si="56"/>
        <v>0</v>
      </c>
      <c r="IF90" s="134">
        <f t="shared" si="56"/>
        <v>0</v>
      </c>
      <c r="IG90" s="134">
        <f t="shared" si="56"/>
        <v>0</v>
      </c>
      <c r="IH90" s="134">
        <f t="shared" si="56"/>
        <v>0</v>
      </c>
      <c r="II90" s="134">
        <f t="shared" si="56"/>
        <v>0</v>
      </c>
      <c r="IJ90" s="134">
        <f t="shared" si="56"/>
        <v>0</v>
      </c>
      <c r="IK90" s="134">
        <f t="shared" si="56"/>
        <v>0</v>
      </c>
      <c r="IL90" s="134">
        <f t="shared" si="56"/>
        <v>0</v>
      </c>
      <c r="IM90" s="134">
        <f t="shared" si="56"/>
        <v>0</v>
      </c>
      <c r="IN90" s="134">
        <f t="shared" si="56"/>
        <v>0</v>
      </c>
      <c r="IO90" s="134">
        <f t="shared" si="56"/>
        <v>0</v>
      </c>
      <c r="IP90" s="134">
        <f t="shared" si="56"/>
        <v>0</v>
      </c>
      <c r="IQ90" s="134">
        <f t="shared" si="56"/>
        <v>0</v>
      </c>
      <c r="IR90" s="134">
        <f t="shared" si="56"/>
        <v>0</v>
      </c>
      <c r="IS90" s="134">
        <f t="shared" si="56"/>
        <v>0</v>
      </c>
      <c r="IT90" s="134">
        <f t="shared" si="56"/>
        <v>0</v>
      </c>
      <c r="IU90" s="134">
        <f t="shared" si="56"/>
        <v>0</v>
      </c>
      <c r="IV90" s="134">
        <f t="shared" si="56"/>
        <v>0</v>
      </c>
      <c r="IW90" s="134">
        <f t="shared" si="56"/>
        <v>0</v>
      </c>
      <c r="IX90" s="134">
        <f t="shared" si="56"/>
        <v>0</v>
      </c>
      <c r="IY90" s="134">
        <f t="shared" si="56"/>
        <v>0</v>
      </c>
      <c r="IZ90" s="134">
        <f t="shared" si="56"/>
        <v>0</v>
      </c>
      <c r="JA90" s="134">
        <f t="shared" si="56"/>
        <v>0</v>
      </c>
      <c r="JB90" s="134">
        <f t="shared" si="56"/>
        <v>0</v>
      </c>
      <c r="JC90" s="134">
        <f t="shared" si="56"/>
        <v>0</v>
      </c>
      <c r="JD90" s="134">
        <f t="shared" si="56"/>
        <v>0</v>
      </c>
      <c r="JE90" s="134">
        <f t="shared" ref="JE90:LP90" si="57">SUM(JE86:JE89)</f>
        <v>0</v>
      </c>
      <c r="JF90" s="134">
        <f t="shared" si="57"/>
        <v>0</v>
      </c>
      <c r="JG90" s="134">
        <f t="shared" si="57"/>
        <v>0</v>
      </c>
      <c r="JH90" s="134">
        <f t="shared" si="57"/>
        <v>0</v>
      </c>
      <c r="JI90" s="134">
        <f t="shared" si="57"/>
        <v>0</v>
      </c>
      <c r="JJ90" s="134">
        <f t="shared" si="57"/>
        <v>0</v>
      </c>
      <c r="JK90" s="134">
        <f t="shared" si="57"/>
        <v>0</v>
      </c>
      <c r="JL90" s="134">
        <f t="shared" si="57"/>
        <v>0</v>
      </c>
      <c r="JM90" s="134">
        <f t="shared" si="57"/>
        <v>0</v>
      </c>
      <c r="JN90" s="134">
        <f t="shared" si="57"/>
        <v>0</v>
      </c>
      <c r="JO90" s="134">
        <f t="shared" si="57"/>
        <v>0</v>
      </c>
      <c r="JP90" s="134">
        <f t="shared" si="57"/>
        <v>0</v>
      </c>
      <c r="JQ90" s="134">
        <f t="shared" si="57"/>
        <v>0</v>
      </c>
      <c r="JR90" s="134">
        <f t="shared" si="57"/>
        <v>0</v>
      </c>
      <c r="JS90" s="134">
        <f t="shared" si="57"/>
        <v>0</v>
      </c>
      <c r="JT90" s="134">
        <f t="shared" si="57"/>
        <v>0</v>
      </c>
      <c r="JU90" s="134">
        <f t="shared" si="57"/>
        <v>0</v>
      </c>
      <c r="JV90" s="134">
        <f t="shared" si="57"/>
        <v>0</v>
      </c>
      <c r="JW90" s="134">
        <f t="shared" si="57"/>
        <v>0</v>
      </c>
      <c r="JX90" s="134">
        <f t="shared" si="57"/>
        <v>0</v>
      </c>
      <c r="JY90" s="134">
        <f t="shared" si="57"/>
        <v>0</v>
      </c>
      <c r="JZ90" s="134">
        <f t="shared" si="57"/>
        <v>0</v>
      </c>
      <c r="KA90" s="134">
        <f t="shared" si="57"/>
        <v>0</v>
      </c>
      <c r="KB90" s="134">
        <f t="shared" si="57"/>
        <v>0</v>
      </c>
      <c r="KC90" s="134">
        <f t="shared" si="57"/>
        <v>0</v>
      </c>
      <c r="KD90" s="134">
        <f t="shared" si="57"/>
        <v>0</v>
      </c>
      <c r="KE90" s="134">
        <f t="shared" si="57"/>
        <v>0</v>
      </c>
      <c r="KF90" s="134">
        <f t="shared" si="57"/>
        <v>0</v>
      </c>
      <c r="KG90" s="134">
        <f t="shared" si="57"/>
        <v>0</v>
      </c>
      <c r="KH90" s="134">
        <f t="shared" si="57"/>
        <v>0</v>
      </c>
      <c r="KI90" s="134">
        <f t="shared" si="57"/>
        <v>0</v>
      </c>
      <c r="KJ90" s="134">
        <f t="shared" si="57"/>
        <v>0</v>
      </c>
      <c r="KK90" s="134">
        <f t="shared" si="57"/>
        <v>0</v>
      </c>
      <c r="KL90" s="134">
        <f t="shared" si="57"/>
        <v>0</v>
      </c>
      <c r="KM90" s="134">
        <f t="shared" si="57"/>
        <v>0</v>
      </c>
      <c r="KN90" s="134">
        <f t="shared" si="57"/>
        <v>0</v>
      </c>
      <c r="KO90" s="134">
        <f t="shared" si="57"/>
        <v>0</v>
      </c>
      <c r="KP90" s="134">
        <f t="shared" si="57"/>
        <v>0</v>
      </c>
      <c r="KQ90" s="134">
        <f t="shared" si="57"/>
        <v>0</v>
      </c>
      <c r="KR90" s="134">
        <f t="shared" si="57"/>
        <v>0</v>
      </c>
      <c r="KS90" s="134">
        <f t="shared" si="57"/>
        <v>0</v>
      </c>
      <c r="KT90" s="134">
        <f t="shared" si="57"/>
        <v>0</v>
      </c>
      <c r="KU90" s="134">
        <f t="shared" si="57"/>
        <v>0</v>
      </c>
      <c r="KV90" s="134">
        <f t="shared" si="57"/>
        <v>0</v>
      </c>
      <c r="KW90" s="134">
        <f t="shared" si="57"/>
        <v>0</v>
      </c>
      <c r="KX90" s="134">
        <f t="shared" si="57"/>
        <v>0</v>
      </c>
      <c r="KY90" s="134">
        <f t="shared" si="57"/>
        <v>0</v>
      </c>
      <c r="KZ90" s="134">
        <f t="shared" si="57"/>
        <v>0</v>
      </c>
      <c r="LA90" s="134">
        <f t="shared" si="57"/>
        <v>0</v>
      </c>
      <c r="LB90" s="134">
        <f t="shared" si="57"/>
        <v>0</v>
      </c>
      <c r="LC90" s="134">
        <f t="shared" si="57"/>
        <v>0</v>
      </c>
      <c r="LD90" s="134">
        <f t="shared" si="57"/>
        <v>0</v>
      </c>
      <c r="LE90" s="134">
        <f t="shared" si="57"/>
        <v>0</v>
      </c>
      <c r="LF90" s="134">
        <f t="shared" si="57"/>
        <v>0</v>
      </c>
      <c r="LG90" s="134">
        <f t="shared" si="57"/>
        <v>0</v>
      </c>
      <c r="LH90" s="134">
        <f t="shared" si="57"/>
        <v>0</v>
      </c>
      <c r="LI90" s="134">
        <f t="shared" si="57"/>
        <v>0</v>
      </c>
      <c r="LJ90" s="134">
        <f t="shared" si="57"/>
        <v>0</v>
      </c>
      <c r="LK90" s="134">
        <f t="shared" si="57"/>
        <v>0</v>
      </c>
      <c r="LL90" s="134">
        <f t="shared" si="57"/>
        <v>0</v>
      </c>
      <c r="LM90" s="134">
        <f t="shared" si="57"/>
        <v>0</v>
      </c>
      <c r="LN90" s="134">
        <f t="shared" si="57"/>
        <v>0</v>
      </c>
      <c r="LO90" s="134">
        <f t="shared" si="57"/>
        <v>0</v>
      </c>
      <c r="LP90" s="134">
        <f t="shared" si="57"/>
        <v>0</v>
      </c>
      <c r="LQ90" s="134">
        <f t="shared" ref="LQ90:OB90" si="58">SUM(LQ86:LQ89)</f>
        <v>0</v>
      </c>
      <c r="LR90" s="134">
        <f t="shared" si="58"/>
        <v>0</v>
      </c>
      <c r="LS90" s="134">
        <f t="shared" si="58"/>
        <v>0</v>
      </c>
      <c r="LT90" s="134">
        <f t="shared" si="58"/>
        <v>0</v>
      </c>
      <c r="LU90" s="134">
        <f t="shared" si="58"/>
        <v>0</v>
      </c>
      <c r="LV90" s="134">
        <f t="shared" si="58"/>
        <v>0</v>
      </c>
      <c r="LW90" s="134">
        <f t="shared" si="58"/>
        <v>0</v>
      </c>
      <c r="LX90" s="134">
        <f t="shared" si="58"/>
        <v>0</v>
      </c>
      <c r="LY90" s="134">
        <f t="shared" si="58"/>
        <v>0</v>
      </c>
      <c r="LZ90" s="134">
        <f t="shared" si="58"/>
        <v>0</v>
      </c>
      <c r="MA90" s="134">
        <f t="shared" ref="MA90" si="59">SUM(MA86:MA89)</f>
        <v>0</v>
      </c>
      <c r="MB90" s="134">
        <f t="shared" si="58"/>
        <v>0</v>
      </c>
      <c r="MC90" s="134">
        <f t="shared" si="58"/>
        <v>0</v>
      </c>
      <c r="MD90" s="134">
        <f t="shared" si="58"/>
        <v>0</v>
      </c>
      <c r="ME90" s="134">
        <f t="shared" si="58"/>
        <v>0</v>
      </c>
      <c r="MF90" s="134">
        <f t="shared" si="58"/>
        <v>0</v>
      </c>
      <c r="MG90" s="134">
        <f t="shared" si="58"/>
        <v>0</v>
      </c>
      <c r="MH90" s="134">
        <f t="shared" si="58"/>
        <v>0</v>
      </c>
      <c r="MI90" s="134">
        <f t="shared" si="58"/>
        <v>0</v>
      </c>
      <c r="MJ90" s="134">
        <f t="shared" si="58"/>
        <v>0</v>
      </c>
      <c r="MK90" s="134">
        <f t="shared" si="58"/>
        <v>0</v>
      </c>
      <c r="ML90" s="134">
        <f t="shared" si="58"/>
        <v>0</v>
      </c>
      <c r="MM90" s="134">
        <f t="shared" si="58"/>
        <v>0</v>
      </c>
      <c r="MN90" s="134">
        <f t="shared" si="58"/>
        <v>0</v>
      </c>
      <c r="MO90" s="134">
        <f t="shared" si="58"/>
        <v>0</v>
      </c>
      <c r="MP90" s="134">
        <f t="shared" si="58"/>
        <v>0</v>
      </c>
      <c r="MQ90" s="134">
        <f t="shared" si="58"/>
        <v>0</v>
      </c>
      <c r="MR90" s="134">
        <f t="shared" si="58"/>
        <v>0</v>
      </c>
      <c r="MS90" s="134">
        <f t="shared" si="58"/>
        <v>0</v>
      </c>
      <c r="MT90" s="134">
        <f t="shared" si="58"/>
        <v>0</v>
      </c>
      <c r="MU90" s="134">
        <f t="shared" si="58"/>
        <v>0</v>
      </c>
      <c r="MV90" s="134">
        <f t="shared" si="58"/>
        <v>0</v>
      </c>
      <c r="MW90" s="134">
        <f t="shared" si="58"/>
        <v>0</v>
      </c>
      <c r="MX90" s="134">
        <f t="shared" si="58"/>
        <v>0</v>
      </c>
      <c r="MY90" s="134">
        <f t="shared" si="58"/>
        <v>0</v>
      </c>
      <c r="MZ90" s="134">
        <f t="shared" si="58"/>
        <v>0</v>
      </c>
      <c r="NA90" s="134">
        <f t="shared" si="58"/>
        <v>0</v>
      </c>
      <c r="NB90" s="134">
        <f t="shared" si="58"/>
        <v>0</v>
      </c>
      <c r="NC90" s="134">
        <f t="shared" si="58"/>
        <v>0</v>
      </c>
      <c r="ND90" s="134">
        <f t="shared" si="58"/>
        <v>0</v>
      </c>
      <c r="NE90" s="134">
        <f t="shared" si="58"/>
        <v>0</v>
      </c>
      <c r="NF90" s="134">
        <f t="shared" ref="NF90" si="60">SUM(NF86:NF89)</f>
        <v>0</v>
      </c>
      <c r="NG90" s="134">
        <f t="shared" si="58"/>
        <v>0</v>
      </c>
      <c r="NH90" s="134">
        <f t="shared" si="58"/>
        <v>0</v>
      </c>
      <c r="NI90" s="134">
        <f t="shared" si="58"/>
        <v>0</v>
      </c>
      <c r="NJ90" s="134">
        <f t="shared" si="58"/>
        <v>0</v>
      </c>
      <c r="NK90" s="134">
        <f t="shared" si="58"/>
        <v>0</v>
      </c>
      <c r="NL90" s="134">
        <f t="shared" si="58"/>
        <v>0</v>
      </c>
      <c r="NM90" s="134">
        <f t="shared" si="58"/>
        <v>0</v>
      </c>
      <c r="NN90" s="134">
        <f t="shared" si="58"/>
        <v>0</v>
      </c>
      <c r="NO90" s="134">
        <f t="shared" si="58"/>
        <v>0</v>
      </c>
      <c r="NP90" s="134">
        <f t="shared" si="58"/>
        <v>0</v>
      </c>
      <c r="NQ90" s="134">
        <f t="shared" si="58"/>
        <v>0</v>
      </c>
      <c r="NR90" s="134">
        <f t="shared" si="58"/>
        <v>0</v>
      </c>
      <c r="NS90" s="134">
        <f t="shared" si="58"/>
        <v>0</v>
      </c>
      <c r="NT90" s="134">
        <f t="shared" si="58"/>
        <v>0</v>
      </c>
      <c r="NU90" s="134">
        <f t="shared" si="58"/>
        <v>0</v>
      </c>
      <c r="NV90" s="134">
        <f t="shared" si="58"/>
        <v>0</v>
      </c>
      <c r="NW90" s="134">
        <f t="shared" si="58"/>
        <v>0</v>
      </c>
      <c r="NX90" s="134">
        <f t="shared" si="58"/>
        <v>0</v>
      </c>
      <c r="NY90" s="134">
        <f t="shared" si="58"/>
        <v>0</v>
      </c>
      <c r="NZ90" s="134">
        <f t="shared" si="58"/>
        <v>0</v>
      </c>
      <c r="OA90" s="134">
        <f t="shared" si="58"/>
        <v>0</v>
      </c>
      <c r="OB90" s="134">
        <f t="shared" si="58"/>
        <v>0</v>
      </c>
      <c r="OC90" s="134">
        <f t="shared" ref="OC90:OH90" si="61">SUM(OC86:OC89)</f>
        <v>0</v>
      </c>
      <c r="OD90" s="134">
        <f t="shared" si="61"/>
        <v>0</v>
      </c>
      <c r="OE90" s="134">
        <f t="shared" si="61"/>
        <v>0</v>
      </c>
      <c r="OF90" s="134">
        <f t="shared" si="61"/>
        <v>0</v>
      </c>
      <c r="OG90" s="134">
        <f t="shared" si="61"/>
        <v>0</v>
      </c>
      <c r="OH90" s="135">
        <f t="shared" si="61"/>
        <v>0</v>
      </c>
    </row>
    <row r="91" spans="1:398" x14ac:dyDescent="0.35">
      <c r="A91" s="102"/>
      <c r="B91" s="168">
        <f t="shared" si="8"/>
        <v>63</v>
      </c>
      <c r="C91" s="171" t="s">
        <v>903</v>
      </c>
      <c r="D91" s="124" t="s">
        <v>752</v>
      </c>
      <c r="E91" s="124" t="s">
        <v>916</v>
      </c>
      <c r="F91" s="125" t="s">
        <v>914</v>
      </c>
      <c r="G91" s="125" t="s">
        <v>741</v>
      </c>
      <c r="H91" s="125"/>
      <c r="I91" s="95">
        <v>0</v>
      </c>
      <c r="J91" s="95">
        <v>0</v>
      </c>
      <c r="K91" s="96">
        <v>0</v>
      </c>
      <c r="L91" s="96">
        <v>0</v>
      </c>
      <c r="M91" s="96">
        <v>0</v>
      </c>
      <c r="N91" s="96">
        <v>0</v>
      </c>
      <c r="O91" s="143">
        <f>SUM(P91,R91)</f>
        <v>0</v>
      </c>
      <c r="P91" s="96">
        <v>0</v>
      </c>
      <c r="Q91" s="96">
        <v>0</v>
      </c>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c r="BA91" s="128"/>
      <c r="BB91" s="128"/>
      <c r="BC91" s="128"/>
      <c r="BD91" s="128"/>
      <c r="BE91" s="128"/>
      <c r="BF91" s="128"/>
      <c r="BG91" s="128"/>
      <c r="BH91" s="128"/>
      <c r="BI91" s="128"/>
      <c r="BJ91" s="128"/>
      <c r="BK91" s="128"/>
      <c r="BL91" s="128"/>
      <c r="BM91" s="128"/>
      <c r="BN91" s="128"/>
      <c r="BO91" s="128"/>
      <c r="BP91" s="128"/>
      <c r="BQ91" s="128"/>
      <c r="BR91" s="128"/>
      <c r="BS91" s="128"/>
      <c r="BT91" s="128"/>
      <c r="BU91" s="128"/>
      <c r="BV91" s="128"/>
      <c r="BW91" s="128"/>
      <c r="BX91" s="128"/>
      <c r="BY91" s="128"/>
      <c r="BZ91" s="128"/>
      <c r="CA91" s="128"/>
      <c r="CB91" s="128"/>
      <c r="CC91" s="128"/>
      <c r="CD91" s="128"/>
      <c r="CE91" s="128"/>
      <c r="CF91" s="128"/>
      <c r="CG91" s="128"/>
      <c r="CH91" s="128"/>
      <c r="CI91" s="128"/>
      <c r="CJ91" s="128"/>
      <c r="CK91" s="128"/>
      <c r="CL91" s="128"/>
      <c r="CM91" s="128"/>
      <c r="CN91" s="128"/>
      <c r="CO91" s="128"/>
      <c r="CP91" s="128"/>
      <c r="CQ91" s="128"/>
      <c r="CR91" s="128"/>
      <c r="CS91" s="128"/>
      <c r="CT91" s="128"/>
      <c r="CU91" s="128"/>
      <c r="CV91" s="128"/>
      <c r="CW91" s="128"/>
      <c r="CX91" s="128"/>
      <c r="CY91" s="128"/>
      <c r="CZ91" s="128"/>
      <c r="DA91" s="128"/>
      <c r="DB91" s="128"/>
      <c r="DC91" s="128"/>
      <c r="DD91" s="128"/>
      <c r="DE91" s="128"/>
      <c r="DF91" s="128"/>
      <c r="DG91" s="128"/>
      <c r="DH91" s="128"/>
      <c r="DI91" s="128"/>
      <c r="DJ91" s="128"/>
      <c r="DK91" s="128"/>
      <c r="DL91" s="128"/>
      <c r="DM91" s="128"/>
      <c r="DN91" s="128"/>
      <c r="DO91" s="128"/>
      <c r="DP91" s="128"/>
      <c r="DQ91" s="128"/>
      <c r="DR91" s="128"/>
      <c r="DS91" s="128"/>
      <c r="DT91" s="128"/>
      <c r="DU91" s="128"/>
      <c r="DV91" s="128"/>
      <c r="DW91" s="128"/>
      <c r="DX91" s="128"/>
      <c r="DY91" s="128"/>
      <c r="DZ91" s="128"/>
      <c r="EA91" s="128"/>
      <c r="EB91" s="128"/>
      <c r="EC91" s="128"/>
      <c r="ED91" s="128"/>
      <c r="EE91" s="128"/>
      <c r="EF91" s="128"/>
      <c r="EG91" s="128"/>
      <c r="EH91" s="128"/>
      <c r="EI91" s="128"/>
      <c r="EJ91" s="128"/>
      <c r="EK91" s="128"/>
      <c r="EL91" s="128"/>
      <c r="EM91" s="128"/>
      <c r="EN91" s="128"/>
      <c r="EO91" s="128"/>
      <c r="EP91" s="128"/>
      <c r="EQ91" s="128"/>
      <c r="ER91" s="128"/>
      <c r="ES91" s="128"/>
      <c r="ET91" s="128"/>
      <c r="EU91" s="128"/>
      <c r="EV91" s="128"/>
      <c r="EW91" s="128"/>
      <c r="EX91" s="128"/>
      <c r="EY91" s="128"/>
      <c r="EZ91" s="128"/>
      <c r="FA91" s="128"/>
      <c r="FB91" s="128"/>
      <c r="FC91" s="128"/>
      <c r="FD91" s="128"/>
      <c r="FE91" s="128"/>
      <c r="FF91" s="128"/>
      <c r="FG91" s="128"/>
      <c r="FH91" s="128"/>
      <c r="FI91" s="128"/>
      <c r="FJ91" s="128"/>
      <c r="FK91" s="128"/>
      <c r="FL91" s="128"/>
      <c r="FM91" s="128"/>
      <c r="FN91" s="128"/>
      <c r="FO91" s="128"/>
      <c r="FP91" s="128"/>
      <c r="FQ91" s="128"/>
      <c r="FR91" s="128"/>
      <c r="FS91" s="128"/>
      <c r="FT91" s="128"/>
      <c r="FU91" s="128"/>
      <c r="FV91" s="128"/>
      <c r="FW91" s="128"/>
      <c r="FX91" s="128"/>
      <c r="FY91" s="128"/>
      <c r="FZ91" s="128"/>
      <c r="GA91" s="128"/>
      <c r="GB91" s="128"/>
      <c r="GC91" s="128"/>
      <c r="GD91" s="128"/>
      <c r="GE91" s="128"/>
      <c r="GF91" s="128"/>
      <c r="GG91" s="128"/>
      <c r="GH91" s="128"/>
      <c r="GI91" s="128"/>
      <c r="GJ91" s="128"/>
      <c r="GK91" s="128"/>
      <c r="GL91" s="128"/>
      <c r="GM91" s="128"/>
      <c r="GN91" s="128"/>
      <c r="GO91" s="128"/>
      <c r="GP91" s="128"/>
      <c r="GQ91" s="128"/>
      <c r="GR91" s="128"/>
      <c r="GS91" s="128"/>
      <c r="GT91" s="128"/>
      <c r="GU91" s="128"/>
      <c r="GV91" s="128"/>
      <c r="GW91" s="128"/>
      <c r="GX91" s="128"/>
      <c r="GY91" s="128"/>
      <c r="GZ91" s="128"/>
      <c r="HA91" s="128"/>
      <c r="HB91" s="128"/>
      <c r="HC91" s="128"/>
      <c r="HD91" s="128"/>
      <c r="HE91" s="128"/>
      <c r="HF91" s="128"/>
      <c r="HG91" s="128"/>
      <c r="HH91" s="128"/>
      <c r="HI91" s="128"/>
      <c r="HJ91" s="128"/>
      <c r="HK91" s="128"/>
      <c r="HL91" s="128"/>
      <c r="HM91" s="128"/>
      <c r="HN91" s="128"/>
      <c r="HO91" s="128"/>
      <c r="HP91" s="128"/>
      <c r="HQ91" s="128"/>
      <c r="HR91" s="128"/>
      <c r="HS91" s="128"/>
      <c r="HT91" s="128"/>
      <c r="HU91" s="128"/>
      <c r="HV91" s="128"/>
      <c r="HW91" s="128"/>
      <c r="HX91" s="128"/>
      <c r="HY91" s="128"/>
      <c r="HZ91" s="128"/>
      <c r="IA91" s="128"/>
      <c r="IB91" s="128"/>
      <c r="IC91" s="128"/>
      <c r="ID91" s="128"/>
      <c r="IE91" s="128"/>
      <c r="IF91" s="128"/>
      <c r="IG91" s="128"/>
      <c r="IH91" s="128"/>
      <c r="II91" s="128"/>
      <c r="IJ91" s="128"/>
      <c r="IK91" s="128"/>
      <c r="IL91" s="128"/>
      <c r="IM91" s="128"/>
      <c r="IN91" s="128"/>
      <c r="IO91" s="128"/>
      <c r="IP91" s="128"/>
      <c r="IQ91" s="128"/>
      <c r="IR91" s="128"/>
      <c r="IS91" s="128"/>
      <c r="IT91" s="128"/>
      <c r="IU91" s="128"/>
      <c r="IV91" s="128"/>
      <c r="IW91" s="128"/>
      <c r="IX91" s="128"/>
      <c r="IY91" s="128"/>
      <c r="IZ91" s="128"/>
      <c r="JA91" s="128"/>
      <c r="JB91" s="128"/>
      <c r="JC91" s="128"/>
      <c r="JD91" s="128"/>
      <c r="JE91" s="128"/>
      <c r="JF91" s="128"/>
      <c r="JG91" s="128"/>
      <c r="JH91" s="128"/>
      <c r="JI91" s="128"/>
      <c r="JJ91" s="128"/>
      <c r="JK91" s="128"/>
      <c r="JL91" s="128"/>
      <c r="JM91" s="128"/>
      <c r="JN91" s="128"/>
      <c r="JO91" s="128"/>
      <c r="JP91" s="128"/>
      <c r="JQ91" s="128"/>
      <c r="JR91" s="128"/>
      <c r="JS91" s="128"/>
      <c r="JT91" s="128"/>
      <c r="JU91" s="128"/>
      <c r="JV91" s="128"/>
      <c r="JW91" s="128"/>
      <c r="JX91" s="128"/>
      <c r="JY91" s="128"/>
      <c r="JZ91" s="128"/>
      <c r="KA91" s="128"/>
      <c r="KB91" s="128"/>
      <c r="KC91" s="128"/>
      <c r="KD91" s="128"/>
      <c r="KE91" s="128"/>
      <c r="KF91" s="128"/>
      <c r="KG91" s="128"/>
      <c r="KH91" s="128"/>
      <c r="KI91" s="128"/>
      <c r="KJ91" s="128"/>
      <c r="KK91" s="128"/>
      <c r="KL91" s="128"/>
      <c r="KM91" s="128"/>
      <c r="KN91" s="128"/>
      <c r="KO91" s="128"/>
      <c r="KP91" s="128"/>
      <c r="KQ91" s="128"/>
      <c r="KR91" s="128"/>
      <c r="KS91" s="128"/>
      <c r="KT91" s="128"/>
      <c r="KU91" s="128"/>
      <c r="KV91" s="128"/>
      <c r="KW91" s="128"/>
      <c r="KX91" s="128"/>
      <c r="KY91" s="128"/>
      <c r="KZ91" s="128"/>
      <c r="LA91" s="128"/>
      <c r="LB91" s="128"/>
      <c r="LC91" s="128"/>
      <c r="LD91" s="128"/>
      <c r="LE91" s="128"/>
      <c r="LF91" s="128"/>
      <c r="LG91" s="128"/>
      <c r="LH91" s="128"/>
      <c r="LI91" s="128"/>
      <c r="LJ91" s="128"/>
      <c r="LK91" s="128"/>
      <c r="LL91" s="128"/>
      <c r="LM91" s="128"/>
      <c r="LN91" s="128"/>
      <c r="LO91" s="128"/>
      <c r="LP91" s="128"/>
      <c r="LQ91" s="128"/>
      <c r="LR91" s="128"/>
      <c r="LS91" s="128"/>
      <c r="LT91" s="128"/>
      <c r="LU91" s="128"/>
      <c r="LV91" s="128"/>
      <c r="LW91" s="128"/>
      <c r="LX91" s="128"/>
      <c r="LY91" s="128"/>
      <c r="LZ91" s="128"/>
      <c r="MA91" s="128"/>
      <c r="MB91" s="128"/>
      <c r="MC91" s="128"/>
      <c r="MD91" s="128"/>
      <c r="ME91" s="128"/>
      <c r="MF91" s="128"/>
      <c r="MG91" s="128"/>
      <c r="MH91" s="128"/>
      <c r="MI91" s="128"/>
      <c r="MJ91" s="128"/>
      <c r="MK91" s="128"/>
      <c r="ML91" s="128"/>
      <c r="MM91" s="128"/>
      <c r="MN91" s="128"/>
      <c r="MO91" s="128"/>
      <c r="MP91" s="128"/>
      <c r="MQ91" s="128"/>
      <c r="MR91" s="128"/>
      <c r="MS91" s="128"/>
      <c r="MT91" s="128"/>
      <c r="MU91" s="128"/>
      <c r="MV91" s="128"/>
      <c r="MW91" s="128"/>
      <c r="MX91" s="128"/>
      <c r="MY91" s="128"/>
      <c r="MZ91" s="128"/>
      <c r="NA91" s="128"/>
      <c r="NB91" s="128"/>
      <c r="NC91" s="128"/>
      <c r="ND91" s="128"/>
      <c r="NE91" s="128"/>
      <c r="NF91" s="128"/>
      <c r="NG91" s="128"/>
      <c r="NH91" s="128"/>
      <c r="NI91" s="128"/>
      <c r="NJ91" s="128"/>
      <c r="NK91" s="128"/>
      <c r="NL91" s="128"/>
      <c r="NM91" s="128"/>
      <c r="NN91" s="128"/>
      <c r="NO91" s="128"/>
      <c r="NP91" s="128"/>
      <c r="NQ91" s="128"/>
      <c r="NR91" s="128"/>
      <c r="NS91" s="128"/>
      <c r="NT91" s="128"/>
      <c r="NU91" s="128"/>
      <c r="NV91" s="128"/>
      <c r="NW91" s="128"/>
      <c r="NX91" s="128"/>
      <c r="NY91" s="128"/>
      <c r="NZ91" s="128"/>
      <c r="OA91" s="128"/>
      <c r="OB91" s="128"/>
      <c r="OC91" s="128"/>
      <c r="OD91" s="128"/>
      <c r="OE91" s="128"/>
      <c r="OF91" s="128"/>
      <c r="OG91" s="128"/>
      <c r="OH91" s="128"/>
    </row>
    <row r="92" spans="1:398" x14ac:dyDescent="0.35">
      <c r="A92" s="102"/>
      <c r="B92" s="168">
        <f t="shared" si="8"/>
        <v>64</v>
      </c>
      <c r="C92" s="171" t="s">
        <v>903</v>
      </c>
      <c r="D92" s="124" t="s">
        <v>752</v>
      </c>
      <c r="E92" s="124" t="s">
        <v>916</v>
      </c>
      <c r="F92" s="125" t="s">
        <v>914</v>
      </c>
      <c r="G92" s="125" t="s">
        <v>742</v>
      </c>
      <c r="H92" s="125"/>
      <c r="I92" s="129">
        <v>0</v>
      </c>
      <c r="J92" s="129">
        <v>0</v>
      </c>
      <c r="K92" s="129">
        <v>0</v>
      </c>
      <c r="L92" s="129">
        <v>0</v>
      </c>
      <c r="M92" s="129">
        <v>0</v>
      </c>
      <c r="N92" s="133">
        <v>0</v>
      </c>
      <c r="O92" s="130">
        <f>SUM(P92,R92)</f>
        <v>0</v>
      </c>
      <c r="P92" s="129">
        <v>0</v>
      </c>
      <c r="Q92" s="133">
        <v>0</v>
      </c>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c r="BP92" s="131"/>
      <c r="BQ92" s="131"/>
      <c r="BR92" s="131"/>
      <c r="BS92" s="131"/>
      <c r="BT92" s="131"/>
      <c r="BU92" s="131"/>
      <c r="BV92" s="131"/>
      <c r="BW92" s="131"/>
      <c r="BX92" s="131"/>
      <c r="BY92" s="131"/>
      <c r="BZ92" s="131"/>
      <c r="CA92" s="131"/>
      <c r="CB92" s="131"/>
      <c r="CC92" s="131"/>
      <c r="CD92" s="131"/>
      <c r="CE92" s="131"/>
      <c r="CF92" s="131"/>
      <c r="CG92" s="131"/>
      <c r="CH92" s="131"/>
      <c r="CI92" s="131"/>
      <c r="CJ92" s="131"/>
      <c r="CK92" s="131"/>
      <c r="CL92" s="131"/>
      <c r="CM92" s="131"/>
      <c r="CN92" s="131"/>
      <c r="CO92" s="131"/>
      <c r="CP92" s="131"/>
      <c r="CQ92" s="131"/>
      <c r="CR92" s="131"/>
      <c r="CS92" s="131"/>
      <c r="CT92" s="131"/>
      <c r="CU92" s="131"/>
      <c r="CV92" s="131"/>
      <c r="CW92" s="131"/>
      <c r="CX92" s="131"/>
      <c r="CY92" s="131"/>
      <c r="CZ92" s="131"/>
      <c r="DA92" s="131"/>
      <c r="DB92" s="131"/>
      <c r="DC92" s="131"/>
      <c r="DD92" s="131"/>
      <c r="DE92" s="131"/>
      <c r="DF92" s="131"/>
      <c r="DG92" s="131"/>
      <c r="DH92" s="131"/>
      <c r="DI92" s="131"/>
      <c r="DJ92" s="131"/>
      <c r="DK92" s="131"/>
      <c r="DL92" s="131"/>
      <c r="DM92" s="131"/>
      <c r="DN92" s="131"/>
      <c r="DO92" s="131"/>
      <c r="DP92" s="131"/>
      <c r="DQ92" s="131"/>
      <c r="DR92" s="131"/>
      <c r="DS92" s="131"/>
      <c r="DT92" s="131"/>
      <c r="DU92" s="131"/>
      <c r="DV92" s="131"/>
      <c r="DW92" s="131"/>
      <c r="DX92" s="131"/>
      <c r="DY92" s="131"/>
      <c r="DZ92" s="131"/>
      <c r="EA92" s="131"/>
      <c r="EB92" s="131"/>
      <c r="EC92" s="131"/>
      <c r="ED92" s="131"/>
      <c r="EE92" s="131"/>
      <c r="EF92" s="131"/>
      <c r="EG92" s="131"/>
      <c r="EH92" s="131"/>
      <c r="EI92" s="131"/>
      <c r="EJ92" s="131"/>
      <c r="EK92" s="131"/>
      <c r="EL92" s="131"/>
      <c r="EM92" s="131"/>
      <c r="EN92" s="131"/>
      <c r="EO92" s="131"/>
      <c r="EP92" s="131"/>
      <c r="EQ92" s="131"/>
      <c r="ER92" s="131"/>
      <c r="ES92" s="131"/>
      <c r="ET92" s="131"/>
      <c r="EU92" s="131"/>
      <c r="EV92" s="131"/>
      <c r="EW92" s="131"/>
      <c r="EX92" s="131"/>
      <c r="EY92" s="131"/>
      <c r="EZ92" s="131"/>
      <c r="FA92" s="131"/>
      <c r="FB92" s="131"/>
      <c r="FC92" s="131"/>
      <c r="FD92" s="131"/>
      <c r="FE92" s="131"/>
      <c r="FF92" s="131"/>
      <c r="FG92" s="131"/>
      <c r="FH92" s="131"/>
      <c r="FI92" s="131"/>
      <c r="FJ92" s="131"/>
      <c r="FK92" s="131"/>
      <c r="FL92" s="131"/>
      <c r="FM92" s="131"/>
      <c r="FN92" s="131"/>
      <c r="FO92" s="131"/>
      <c r="FP92" s="131"/>
      <c r="FQ92" s="131"/>
      <c r="FR92" s="131"/>
      <c r="FS92" s="131"/>
      <c r="FT92" s="131"/>
      <c r="FU92" s="131"/>
      <c r="FV92" s="131"/>
      <c r="FW92" s="131"/>
      <c r="FX92" s="131"/>
      <c r="FY92" s="131"/>
      <c r="FZ92" s="131"/>
      <c r="GA92" s="131"/>
      <c r="GB92" s="131"/>
      <c r="GC92" s="131"/>
      <c r="GD92" s="131"/>
      <c r="GE92" s="131"/>
      <c r="GF92" s="131"/>
      <c r="GG92" s="131"/>
      <c r="GH92" s="131"/>
      <c r="GI92" s="131"/>
      <c r="GJ92" s="131"/>
      <c r="GK92" s="131"/>
      <c r="GL92" s="131"/>
      <c r="GM92" s="131"/>
      <c r="GN92" s="131"/>
      <c r="GO92" s="131"/>
      <c r="GP92" s="131"/>
      <c r="GQ92" s="131"/>
      <c r="GR92" s="131"/>
      <c r="GS92" s="131"/>
      <c r="GT92" s="131"/>
      <c r="GU92" s="131"/>
      <c r="GV92" s="131"/>
      <c r="GW92" s="131"/>
      <c r="GX92" s="131"/>
      <c r="GY92" s="131"/>
      <c r="GZ92" s="131"/>
      <c r="HA92" s="131"/>
      <c r="HB92" s="131"/>
      <c r="HC92" s="131"/>
      <c r="HD92" s="131"/>
      <c r="HE92" s="131"/>
      <c r="HF92" s="131"/>
      <c r="HG92" s="131"/>
      <c r="HH92" s="131"/>
      <c r="HI92" s="131"/>
      <c r="HJ92" s="131"/>
      <c r="HK92" s="131"/>
      <c r="HL92" s="131"/>
      <c r="HM92" s="131"/>
      <c r="HN92" s="131"/>
      <c r="HO92" s="131"/>
      <c r="HP92" s="131"/>
      <c r="HQ92" s="131"/>
      <c r="HR92" s="131"/>
      <c r="HS92" s="131"/>
      <c r="HT92" s="131"/>
      <c r="HU92" s="131"/>
      <c r="HV92" s="131"/>
      <c r="HW92" s="131"/>
      <c r="HX92" s="131"/>
      <c r="HY92" s="131"/>
      <c r="HZ92" s="131"/>
      <c r="IA92" s="131"/>
      <c r="IB92" s="131"/>
      <c r="IC92" s="131"/>
      <c r="ID92" s="131"/>
      <c r="IE92" s="131"/>
      <c r="IF92" s="131"/>
      <c r="IG92" s="131"/>
      <c r="IH92" s="131"/>
      <c r="II92" s="131"/>
      <c r="IJ92" s="131"/>
      <c r="IK92" s="131"/>
      <c r="IL92" s="131"/>
      <c r="IM92" s="131"/>
      <c r="IN92" s="131"/>
      <c r="IO92" s="131"/>
      <c r="IP92" s="131"/>
      <c r="IQ92" s="131"/>
      <c r="IR92" s="131"/>
      <c r="IS92" s="131"/>
      <c r="IT92" s="131"/>
      <c r="IU92" s="131"/>
      <c r="IV92" s="131"/>
      <c r="IW92" s="131"/>
      <c r="IX92" s="131"/>
      <c r="IY92" s="131"/>
      <c r="IZ92" s="131"/>
      <c r="JA92" s="131"/>
      <c r="JB92" s="131"/>
      <c r="JC92" s="131"/>
      <c r="JD92" s="131"/>
      <c r="JE92" s="131"/>
      <c r="JF92" s="131"/>
      <c r="JG92" s="131"/>
      <c r="JH92" s="131"/>
      <c r="JI92" s="131"/>
      <c r="JJ92" s="131"/>
      <c r="JK92" s="131"/>
      <c r="JL92" s="131"/>
      <c r="JM92" s="131"/>
      <c r="JN92" s="131"/>
      <c r="JO92" s="131"/>
      <c r="JP92" s="131"/>
      <c r="JQ92" s="131"/>
      <c r="JR92" s="131"/>
      <c r="JS92" s="131"/>
      <c r="JT92" s="131"/>
      <c r="JU92" s="131"/>
      <c r="JV92" s="131"/>
      <c r="JW92" s="131"/>
      <c r="JX92" s="131"/>
      <c r="JY92" s="131"/>
      <c r="JZ92" s="131"/>
      <c r="KA92" s="131"/>
      <c r="KB92" s="131"/>
      <c r="KC92" s="131"/>
      <c r="KD92" s="131"/>
      <c r="KE92" s="131"/>
      <c r="KF92" s="131"/>
      <c r="KG92" s="131"/>
      <c r="KH92" s="131"/>
      <c r="KI92" s="131"/>
      <c r="KJ92" s="131"/>
      <c r="KK92" s="131"/>
      <c r="KL92" s="131"/>
      <c r="KM92" s="131"/>
      <c r="KN92" s="131"/>
      <c r="KO92" s="131"/>
      <c r="KP92" s="131"/>
      <c r="KQ92" s="131"/>
      <c r="KR92" s="131"/>
      <c r="KS92" s="131"/>
      <c r="KT92" s="131"/>
      <c r="KU92" s="131"/>
      <c r="KV92" s="131"/>
      <c r="KW92" s="131"/>
      <c r="KX92" s="131"/>
      <c r="KY92" s="131"/>
      <c r="KZ92" s="131"/>
      <c r="LA92" s="131"/>
      <c r="LB92" s="131"/>
      <c r="LC92" s="131"/>
      <c r="LD92" s="131"/>
      <c r="LE92" s="131"/>
      <c r="LF92" s="131"/>
      <c r="LG92" s="131"/>
      <c r="LH92" s="131"/>
      <c r="LI92" s="131"/>
      <c r="LJ92" s="131"/>
      <c r="LK92" s="131"/>
      <c r="LL92" s="131"/>
      <c r="LM92" s="131"/>
      <c r="LN92" s="131"/>
      <c r="LO92" s="131"/>
      <c r="LP92" s="131"/>
      <c r="LQ92" s="131"/>
      <c r="LR92" s="131"/>
      <c r="LS92" s="131"/>
      <c r="LT92" s="131"/>
      <c r="LU92" s="131"/>
      <c r="LV92" s="131"/>
      <c r="LW92" s="131"/>
      <c r="LX92" s="131"/>
      <c r="LY92" s="131"/>
      <c r="LZ92" s="131"/>
      <c r="MA92" s="131"/>
      <c r="MB92" s="131"/>
      <c r="MC92" s="131"/>
      <c r="MD92" s="131"/>
      <c r="ME92" s="131"/>
      <c r="MF92" s="131"/>
      <c r="MG92" s="131"/>
      <c r="MH92" s="131"/>
      <c r="MI92" s="131"/>
      <c r="MJ92" s="131"/>
      <c r="MK92" s="131"/>
      <c r="ML92" s="131"/>
      <c r="MM92" s="131"/>
      <c r="MN92" s="131"/>
      <c r="MO92" s="131"/>
      <c r="MP92" s="131"/>
      <c r="MQ92" s="131"/>
      <c r="MR92" s="131"/>
      <c r="MS92" s="131"/>
      <c r="MT92" s="131"/>
      <c r="MU92" s="131"/>
      <c r="MV92" s="131"/>
      <c r="MW92" s="131"/>
      <c r="MX92" s="131"/>
      <c r="MY92" s="131"/>
      <c r="MZ92" s="131"/>
      <c r="NA92" s="131"/>
      <c r="NB92" s="131"/>
      <c r="NC92" s="131"/>
      <c r="ND92" s="131"/>
      <c r="NE92" s="131"/>
      <c r="NF92" s="131"/>
      <c r="NG92" s="131"/>
      <c r="NH92" s="131"/>
      <c r="NI92" s="131"/>
      <c r="NJ92" s="131"/>
      <c r="NK92" s="131"/>
      <c r="NL92" s="131"/>
      <c r="NM92" s="131"/>
      <c r="NN92" s="131"/>
      <c r="NO92" s="131"/>
      <c r="NP92" s="131"/>
      <c r="NQ92" s="131"/>
      <c r="NR92" s="131"/>
      <c r="NS92" s="131"/>
      <c r="NT92" s="131"/>
      <c r="NU92" s="131"/>
      <c r="NV92" s="131"/>
      <c r="NW92" s="131"/>
      <c r="NX92" s="131"/>
      <c r="NY92" s="131"/>
      <c r="NZ92" s="131"/>
      <c r="OA92" s="131"/>
      <c r="OB92" s="131"/>
      <c r="OC92" s="131"/>
      <c r="OD92" s="131"/>
      <c r="OE92" s="131"/>
      <c r="OF92" s="131"/>
      <c r="OG92" s="131"/>
      <c r="OH92" s="132"/>
    </row>
    <row r="93" spans="1:398" x14ac:dyDescent="0.35">
      <c r="A93" s="102"/>
      <c r="B93" s="168">
        <f t="shared" si="8"/>
        <v>65</v>
      </c>
      <c r="C93" s="171" t="s">
        <v>903</v>
      </c>
      <c r="D93" s="124" t="s">
        <v>752</v>
      </c>
      <c r="E93" s="124" t="s">
        <v>916</v>
      </c>
      <c r="F93" s="125" t="s">
        <v>914</v>
      </c>
      <c r="G93" s="125" t="s">
        <v>743</v>
      </c>
      <c r="H93" s="125"/>
      <c r="I93" s="129">
        <v>0</v>
      </c>
      <c r="J93" s="129">
        <v>0</v>
      </c>
      <c r="K93" s="129">
        <v>0</v>
      </c>
      <c r="L93" s="129">
        <v>0</v>
      </c>
      <c r="M93" s="129">
        <v>0</v>
      </c>
      <c r="N93" s="133">
        <v>0</v>
      </c>
      <c r="O93" s="130">
        <f>SUM(P93,R93)</f>
        <v>0</v>
      </c>
      <c r="P93" s="129">
        <v>0</v>
      </c>
      <c r="Q93" s="133">
        <v>0</v>
      </c>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1"/>
      <c r="BF93" s="131"/>
      <c r="BG93" s="131"/>
      <c r="BH93" s="131"/>
      <c r="BI93" s="131"/>
      <c r="BJ93" s="131"/>
      <c r="BK93" s="131"/>
      <c r="BL93" s="131"/>
      <c r="BM93" s="131"/>
      <c r="BN93" s="131"/>
      <c r="BO93" s="131"/>
      <c r="BP93" s="131"/>
      <c r="BQ93" s="131"/>
      <c r="BR93" s="131"/>
      <c r="BS93" s="131"/>
      <c r="BT93" s="131"/>
      <c r="BU93" s="131"/>
      <c r="BV93" s="131"/>
      <c r="BW93" s="131"/>
      <c r="BX93" s="131"/>
      <c r="BY93" s="131"/>
      <c r="BZ93" s="131"/>
      <c r="CA93" s="131"/>
      <c r="CB93" s="131"/>
      <c r="CC93" s="131"/>
      <c r="CD93" s="131"/>
      <c r="CE93" s="131"/>
      <c r="CF93" s="131"/>
      <c r="CG93" s="131"/>
      <c r="CH93" s="131"/>
      <c r="CI93" s="131"/>
      <c r="CJ93" s="131"/>
      <c r="CK93" s="131"/>
      <c r="CL93" s="131"/>
      <c r="CM93" s="131"/>
      <c r="CN93" s="131"/>
      <c r="CO93" s="131"/>
      <c r="CP93" s="131"/>
      <c r="CQ93" s="131"/>
      <c r="CR93" s="131"/>
      <c r="CS93" s="131"/>
      <c r="CT93" s="131"/>
      <c r="CU93" s="131"/>
      <c r="CV93" s="131"/>
      <c r="CW93" s="131"/>
      <c r="CX93" s="131"/>
      <c r="CY93" s="131"/>
      <c r="CZ93" s="131"/>
      <c r="DA93" s="131"/>
      <c r="DB93" s="131"/>
      <c r="DC93" s="131"/>
      <c r="DD93" s="131"/>
      <c r="DE93" s="131"/>
      <c r="DF93" s="131"/>
      <c r="DG93" s="131"/>
      <c r="DH93" s="131"/>
      <c r="DI93" s="131"/>
      <c r="DJ93" s="131"/>
      <c r="DK93" s="131"/>
      <c r="DL93" s="131"/>
      <c r="DM93" s="131"/>
      <c r="DN93" s="131"/>
      <c r="DO93" s="131"/>
      <c r="DP93" s="131"/>
      <c r="DQ93" s="131"/>
      <c r="DR93" s="131"/>
      <c r="DS93" s="131"/>
      <c r="DT93" s="131"/>
      <c r="DU93" s="131"/>
      <c r="DV93" s="131"/>
      <c r="DW93" s="131"/>
      <c r="DX93" s="131"/>
      <c r="DY93" s="131"/>
      <c r="DZ93" s="131"/>
      <c r="EA93" s="131"/>
      <c r="EB93" s="131"/>
      <c r="EC93" s="131"/>
      <c r="ED93" s="131"/>
      <c r="EE93" s="131"/>
      <c r="EF93" s="131"/>
      <c r="EG93" s="131"/>
      <c r="EH93" s="131"/>
      <c r="EI93" s="131"/>
      <c r="EJ93" s="131"/>
      <c r="EK93" s="131"/>
      <c r="EL93" s="131"/>
      <c r="EM93" s="131"/>
      <c r="EN93" s="131"/>
      <c r="EO93" s="131"/>
      <c r="EP93" s="131"/>
      <c r="EQ93" s="131"/>
      <c r="ER93" s="131"/>
      <c r="ES93" s="131"/>
      <c r="ET93" s="131"/>
      <c r="EU93" s="131"/>
      <c r="EV93" s="131"/>
      <c r="EW93" s="131"/>
      <c r="EX93" s="131"/>
      <c r="EY93" s="131"/>
      <c r="EZ93" s="131"/>
      <c r="FA93" s="131"/>
      <c r="FB93" s="131"/>
      <c r="FC93" s="131"/>
      <c r="FD93" s="131"/>
      <c r="FE93" s="131"/>
      <c r="FF93" s="131"/>
      <c r="FG93" s="131"/>
      <c r="FH93" s="131"/>
      <c r="FI93" s="131"/>
      <c r="FJ93" s="131"/>
      <c r="FK93" s="131"/>
      <c r="FL93" s="131"/>
      <c r="FM93" s="131"/>
      <c r="FN93" s="131"/>
      <c r="FO93" s="131"/>
      <c r="FP93" s="131"/>
      <c r="FQ93" s="131"/>
      <c r="FR93" s="131"/>
      <c r="FS93" s="131"/>
      <c r="FT93" s="131"/>
      <c r="FU93" s="131"/>
      <c r="FV93" s="131"/>
      <c r="FW93" s="131"/>
      <c r="FX93" s="131"/>
      <c r="FY93" s="131"/>
      <c r="FZ93" s="131"/>
      <c r="GA93" s="131"/>
      <c r="GB93" s="131"/>
      <c r="GC93" s="131"/>
      <c r="GD93" s="131"/>
      <c r="GE93" s="131"/>
      <c r="GF93" s="131"/>
      <c r="GG93" s="131"/>
      <c r="GH93" s="131"/>
      <c r="GI93" s="131"/>
      <c r="GJ93" s="131"/>
      <c r="GK93" s="131"/>
      <c r="GL93" s="131"/>
      <c r="GM93" s="131"/>
      <c r="GN93" s="131"/>
      <c r="GO93" s="131"/>
      <c r="GP93" s="131"/>
      <c r="GQ93" s="131"/>
      <c r="GR93" s="131"/>
      <c r="GS93" s="131"/>
      <c r="GT93" s="131"/>
      <c r="GU93" s="131"/>
      <c r="GV93" s="131"/>
      <c r="GW93" s="131"/>
      <c r="GX93" s="131"/>
      <c r="GY93" s="131"/>
      <c r="GZ93" s="131"/>
      <c r="HA93" s="131"/>
      <c r="HB93" s="131"/>
      <c r="HC93" s="131"/>
      <c r="HD93" s="131"/>
      <c r="HE93" s="131"/>
      <c r="HF93" s="131"/>
      <c r="HG93" s="131"/>
      <c r="HH93" s="131"/>
      <c r="HI93" s="131"/>
      <c r="HJ93" s="131"/>
      <c r="HK93" s="131"/>
      <c r="HL93" s="131"/>
      <c r="HM93" s="131"/>
      <c r="HN93" s="131"/>
      <c r="HO93" s="131"/>
      <c r="HP93" s="131"/>
      <c r="HQ93" s="131"/>
      <c r="HR93" s="131"/>
      <c r="HS93" s="131"/>
      <c r="HT93" s="131"/>
      <c r="HU93" s="131"/>
      <c r="HV93" s="131"/>
      <c r="HW93" s="131"/>
      <c r="HX93" s="131"/>
      <c r="HY93" s="131"/>
      <c r="HZ93" s="131"/>
      <c r="IA93" s="131"/>
      <c r="IB93" s="131"/>
      <c r="IC93" s="131"/>
      <c r="ID93" s="131"/>
      <c r="IE93" s="131"/>
      <c r="IF93" s="131"/>
      <c r="IG93" s="131"/>
      <c r="IH93" s="131"/>
      <c r="II93" s="131"/>
      <c r="IJ93" s="131"/>
      <c r="IK93" s="131"/>
      <c r="IL93" s="131"/>
      <c r="IM93" s="131"/>
      <c r="IN93" s="131"/>
      <c r="IO93" s="131"/>
      <c r="IP93" s="131"/>
      <c r="IQ93" s="131"/>
      <c r="IR93" s="131"/>
      <c r="IS93" s="131"/>
      <c r="IT93" s="131"/>
      <c r="IU93" s="131"/>
      <c r="IV93" s="131"/>
      <c r="IW93" s="131"/>
      <c r="IX93" s="131"/>
      <c r="IY93" s="131"/>
      <c r="IZ93" s="131"/>
      <c r="JA93" s="131"/>
      <c r="JB93" s="131"/>
      <c r="JC93" s="131"/>
      <c r="JD93" s="131"/>
      <c r="JE93" s="131"/>
      <c r="JF93" s="131"/>
      <c r="JG93" s="131"/>
      <c r="JH93" s="131"/>
      <c r="JI93" s="131"/>
      <c r="JJ93" s="131"/>
      <c r="JK93" s="131"/>
      <c r="JL93" s="131"/>
      <c r="JM93" s="131"/>
      <c r="JN93" s="131"/>
      <c r="JO93" s="131"/>
      <c r="JP93" s="131"/>
      <c r="JQ93" s="131"/>
      <c r="JR93" s="131"/>
      <c r="JS93" s="131"/>
      <c r="JT93" s="131"/>
      <c r="JU93" s="131"/>
      <c r="JV93" s="131"/>
      <c r="JW93" s="131"/>
      <c r="JX93" s="131"/>
      <c r="JY93" s="131"/>
      <c r="JZ93" s="131"/>
      <c r="KA93" s="131"/>
      <c r="KB93" s="131"/>
      <c r="KC93" s="131"/>
      <c r="KD93" s="131"/>
      <c r="KE93" s="131"/>
      <c r="KF93" s="131"/>
      <c r="KG93" s="131"/>
      <c r="KH93" s="131"/>
      <c r="KI93" s="131"/>
      <c r="KJ93" s="131"/>
      <c r="KK93" s="131"/>
      <c r="KL93" s="131"/>
      <c r="KM93" s="131"/>
      <c r="KN93" s="131"/>
      <c r="KO93" s="131"/>
      <c r="KP93" s="131"/>
      <c r="KQ93" s="131"/>
      <c r="KR93" s="131"/>
      <c r="KS93" s="131"/>
      <c r="KT93" s="131"/>
      <c r="KU93" s="131"/>
      <c r="KV93" s="131"/>
      <c r="KW93" s="131"/>
      <c r="KX93" s="131"/>
      <c r="KY93" s="131"/>
      <c r="KZ93" s="131"/>
      <c r="LA93" s="131"/>
      <c r="LB93" s="131"/>
      <c r="LC93" s="131"/>
      <c r="LD93" s="131"/>
      <c r="LE93" s="131"/>
      <c r="LF93" s="131"/>
      <c r="LG93" s="131"/>
      <c r="LH93" s="131"/>
      <c r="LI93" s="131"/>
      <c r="LJ93" s="131"/>
      <c r="LK93" s="131"/>
      <c r="LL93" s="131"/>
      <c r="LM93" s="131"/>
      <c r="LN93" s="131"/>
      <c r="LO93" s="131"/>
      <c r="LP93" s="131"/>
      <c r="LQ93" s="131"/>
      <c r="LR93" s="131"/>
      <c r="LS93" s="131"/>
      <c r="LT93" s="131"/>
      <c r="LU93" s="131"/>
      <c r="LV93" s="131"/>
      <c r="LW93" s="131"/>
      <c r="LX93" s="131"/>
      <c r="LY93" s="131"/>
      <c r="LZ93" s="131"/>
      <c r="MA93" s="131"/>
      <c r="MB93" s="131"/>
      <c r="MC93" s="131"/>
      <c r="MD93" s="131"/>
      <c r="ME93" s="131"/>
      <c r="MF93" s="131"/>
      <c r="MG93" s="131"/>
      <c r="MH93" s="131"/>
      <c r="MI93" s="131"/>
      <c r="MJ93" s="131"/>
      <c r="MK93" s="131"/>
      <c r="ML93" s="131"/>
      <c r="MM93" s="131"/>
      <c r="MN93" s="131"/>
      <c r="MO93" s="131"/>
      <c r="MP93" s="131"/>
      <c r="MQ93" s="131"/>
      <c r="MR93" s="131"/>
      <c r="MS93" s="131"/>
      <c r="MT93" s="131"/>
      <c r="MU93" s="131"/>
      <c r="MV93" s="131"/>
      <c r="MW93" s="131"/>
      <c r="MX93" s="131"/>
      <c r="MY93" s="131"/>
      <c r="MZ93" s="131"/>
      <c r="NA93" s="131"/>
      <c r="NB93" s="131"/>
      <c r="NC93" s="131"/>
      <c r="ND93" s="131"/>
      <c r="NE93" s="131"/>
      <c r="NF93" s="131"/>
      <c r="NG93" s="131"/>
      <c r="NH93" s="131"/>
      <c r="NI93" s="131"/>
      <c r="NJ93" s="131"/>
      <c r="NK93" s="131"/>
      <c r="NL93" s="131"/>
      <c r="NM93" s="131"/>
      <c r="NN93" s="131"/>
      <c r="NO93" s="131"/>
      <c r="NP93" s="131"/>
      <c r="NQ93" s="131"/>
      <c r="NR93" s="131"/>
      <c r="NS93" s="131"/>
      <c r="NT93" s="131"/>
      <c r="NU93" s="131"/>
      <c r="NV93" s="131"/>
      <c r="NW93" s="131"/>
      <c r="NX93" s="131"/>
      <c r="NY93" s="131"/>
      <c r="NZ93" s="131"/>
      <c r="OA93" s="131"/>
      <c r="OB93" s="131"/>
      <c r="OC93" s="131"/>
      <c r="OD93" s="131"/>
      <c r="OE93" s="131"/>
      <c r="OF93" s="131"/>
      <c r="OG93" s="131"/>
      <c r="OH93" s="132"/>
    </row>
    <row r="94" spans="1:398" x14ac:dyDescent="0.35">
      <c r="A94" s="102"/>
      <c r="B94" s="168">
        <f t="shared" ref="B94:B114" si="62">1+B93</f>
        <v>66</v>
      </c>
      <c r="C94" s="171" t="s">
        <v>903</v>
      </c>
      <c r="D94" s="124" t="s">
        <v>752</v>
      </c>
      <c r="E94" s="124" t="s">
        <v>916</v>
      </c>
      <c r="F94" s="125" t="s">
        <v>914</v>
      </c>
      <c r="G94" s="125" t="s">
        <v>202</v>
      </c>
      <c r="H94" s="125"/>
      <c r="I94" s="129">
        <v>0</v>
      </c>
      <c r="J94" s="129">
        <v>0</v>
      </c>
      <c r="K94" s="129">
        <v>0</v>
      </c>
      <c r="L94" s="129">
        <v>0</v>
      </c>
      <c r="M94" s="129">
        <v>0</v>
      </c>
      <c r="N94" s="133">
        <v>0</v>
      </c>
      <c r="O94" s="130">
        <f>SUM(P94,R94)</f>
        <v>0</v>
      </c>
      <c r="P94" s="129">
        <v>0</v>
      </c>
      <c r="Q94" s="133">
        <v>0</v>
      </c>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c r="CB94" s="131"/>
      <c r="CC94" s="131"/>
      <c r="CD94" s="131"/>
      <c r="CE94" s="131"/>
      <c r="CF94" s="131"/>
      <c r="CG94" s="131"/>
      <c r="CH94" s="131"/>
      <c r="CI94" s="131"/>
      <c r="CJ94" s="131"/>
      <c r="CK94" s="131"/>
      <c r="CL94" s="131"/>
      <c r="CM94" s="131"/>
      <c r="CN94" s="131"/>
      <c r="CO94" s="131"/>
      <c r="CP94" s="131"/>
      <c r="CQ94" s="131"/>
      <c r="CR94" s="131"/>
      <c r="CS94" s="131"/>
      <c r="CT94" s="131"/>
      <c r="CU94" s="131"/>
      <c r="CV94" s="131"/>
      <c r="CW94" s="131"/>
      <c r="CX94" s="131"/>
      <c r="CY94" s="131"/>
      <c r="CZ94" s="131"/>
      <c r="DA94" s="131"/>
      <c r="DB94" s="131"/>
      <c r="DC94" s="131"/>
      <c r="DD94" s="131"/>
      <c r="DE94" s="131"/>
      <c r="DF94" s="131"/>
      <c r="DG94" s="131"/>
      <c r="DH94" s="131"/>
      <c r="DI94" s="131"/>
      <c r="DJ94" s="131"/>
      <c r="DK94" s="131"/>
      <c r="DL94" s="131"/>
      <c r="DM94" s="131"/>
      <c r="DN94" s="131"/>
      <c r="DO94" s="131"/>
      <c r="DP94" s="131"/>
      <c r="DQ94" s="131"/>
      <c r="DR94" s="131"/>
      <c r="DS94" s="131"/>
      <c r="DT94" s="131"/>
      <c r="DU94" s="131"/>
      <c r="DV94" s="131"/>
      <c r="DW94" s="131"/>
      <c r="DX94" s="131"/>
      <c r="DY94" s="131"/>
      <c r="DZ94" s="131"/>
      <c r="EA94" s="131"/>
      <c r="EB94" s="131"/>
      <c r="EC94" s="131"/>
      <c r="ED94" s="131"/>
      <c r="EE94" s="131"/>
      <c r="EF94" s="131"/>
      <c r="EG94" s="131"/>
      <c r="EH94" s="131"/>
      <c r="EI94" s="131"/>
      <c r="EJ94" s="131"/>
      <c r="EK94" s="131"/>
      <c r="EL94" s="131"/>
      <c r="EM94" s="131"/>
      <c r="EN94" s="131"/>
      <c r="EO94" s="131"/>
      <c r="EP94" s="131"/>
      <c r="EQ94" s="131"/>
      <c r="ER94" s="131"/>
      <c r="ES94" s="131"/>
      <c r="ET94" s="131"/>
      <c r="EU94" s="131"/>
      <c r="EV94" s="131"/>
      <c r="EW94" s="131"/>
      <c r="EX94" s="131"/>
      <c r="EY94" s="131"/>
      <c r="EZ94" s="131"/>
      <c r="FA94" s="131"/>
      <c r="FB94" s="131"/>
      <c r="FC94" s="131"/>
      <c r="FD94" s="131"/>
      <c r="FE94" s="131"/>
      <c r="FF94" s="131"/>
      <c r="FG94" s="131"/>
      <c r="FH94" s="131"/>
      <c r="FI94" s="131"/>
      <c r="FJ94" s="131"/>
      <c r="FK94" s="131"/>
      <c r="FL94" s="131"/>
      <c r="FM94" s="131"/>
      <c r="FN94" s="131"/>
      <c r="FO94" s="131"/>
      <c r="FP94" s="131"/>
      <c r="FQ94" s="131"/>
      <c r="FR94" s="131"/>
      <c r="FS94" s="131"/>
      <c r="FT94" s="131"/>
      <c r="FU94" s="131"/>
      <c r="FV94" s="131"/>
      <c r="FW94" s="131"/>
      <c r="FX94" s="131"/>
      <c r="FY94" s="131"/>
      <c r="FZ94" s="131"/>
      <c r="GA94" s="131"/>
      <c r="GB94" s="131"/>
      <c r="GC94" s="131"/>
      <c r="GD94" s="131"/>
      <c r="GE94" s="131"/>
      <c r="GF94" s="131"/>
      <c r="GG94" s="131"/>
      <c r="GH94" s="131"/>
      <c r="GI94" s="131"/>
      <c r="GJ94" s="131"/>
      <c r="GK94" s="131"/>
      <c r="GL94" s="131"/>
      <c r="GM94" s="131"/>
      <c r="GN94" s="131"/>
      <c r="GO94" s="131"/>
      <c r="GP94" s="131"/>
      <c r="GQ94" s="131"/>
      <c r="GR94" s="131"/>
      <c r="GS94" s="131"/>
      <c r="GT94" s="131"/>
      <c r="GU94" s="131"/>
      <c r="GV94" s="131"/>
      <c r="GW94" s="131"/>
      <c r="GX94" s="131"/>
      <c r="GY94" s="131"/>
      <c r="GZ94" s="131"/>
      <c r="HA94" s="131"/>
      <c r="HB94" s="131"/>
      <c r="HC94" s="131"/>
      <c r="HD94" s="131"/>
      <c r="HE94" s="131"/>
      <c r="HF94" s="131"/>
      <c r="HG94" s="131"/>
      <c r="HH94" s="131"/>
      <c r="HI94" s="131"/>
      <c r="HJ94" s="131"/>
      <c r="HK94" s="131"/>
      <c r="HL94" s="131"/>
      <c r="HM94" s="131"/>
      <c r="HN94" s="131"/>
      <c r="HO94" s="131"/>
      <c r="HP94" s="131"/>
      <c r="HQ94" s="131"/>
      <c r="HR94" s="131"/>
      <c r="HS94" s="131"/>
      <c r="HT94" s="131"/>
      <c r="HU94" s="131"/>
      <c r="HV94" s="131"/>
      <c r="HW94" s="131"/>
      <c r="HX94" s="131"/>
      <c r="HY94" s="131"/>
      <c r="HZ94" s="131"/>
      <c r="IA94" s="131"/>
      <c r="IB94" s="131"/>
      <c r="IC94" s="131"/>
      <c r="ID94" s="131"/>
      <c r="IE94" s="131"/>
      <c r="IF94" s="131"/>
      <c r="IG94" s="131"/>
      <c r="IH94" s="131"/>
      <c r="II94" s="131"/>
      <c r="IJ94" s="131"/>
      <c r="IK94" s="131"/>
      <c r="IL94" s="131"/>
      <c r="IM94" s="131"/>
      <c r="IN94" s="131"/>
      <c r="IO94" s="131"/>
      <c r="IP94" s="131"/>
      <c r="IQ94" s="131"/>
      <c r="IR94" s="131"/>
      <c r="IS94" s="131"/>
      <c r="IT94" s="131"/>
      <c r="IU94" s="131"/>
      <c r="IV94" s="131"/>
      <c r="IW94" s="131"/>
      <c r="IX94" s="131"/>
      <c r="IY94" s="131"/>
      <c r="IZ94" s="131"/>
      <c r="JA94" s="131"/>
      <c r="JB94" s="131"/>
      <c r="JC94" s="131"/>
      <c r="JD94" s="131"/>
      <c r="JE94" s="131"/>
      <c r="JF94" s="131"/>
      <c r="JG94" s="131"/>
      <c r="JH94" s="131"/>
      <c r="JI94" s="131"/>
      <c r="JJ94" s="131"/>
      <c r="JK94" s="131"/>
      <c r="JL94" s="131"/>
      <c r="JM94" s="131"/>
      <c r="JN94" s="131"/>
      <c r="JO94" s="131"/>
      <c r="JP94" s="131"/>
      <c r="JQ94" s="131"/>
      <c r="JR94" s="131"/>
      <c r="JS94" s="131"/>
      <c r="JT94" s="131"/>
      <c r="JU94" s="131"/>
      <c r="JV94" s="131"/>
      <c r="JW94" s="131"/>
      <c r="JX94" s="131"/>
      <c r="JY94" s="131"/>
      <c r="JZ94" s="131"/>
      <c r="KA94" s="131"/>
      <c r="KB94" s="131"/>
      <c r="KC94" s="131"/>
      <c r="KD94" s="131"/>
      <c r="KE94" s="131"/>
      <c r="KF94" s="131"/>
      <c r="KG94" s="131"/>
      <c r="KH94" s="131"/>
      <c r="KI94" s="131"/>
      <c r="KJ94" s="131"/>
      <c r="KK94" s="131"/>
      <c r="KL94" s="131"/>
      <c r="KM94" s="131"/>
      <c r="KN94" s="131"/>
      <c r="KO94" s="131"/>
      <c r="KP94" s="131"/>
      <c r="KQ94" s="131"/>
      <c r="KR94" s="131"/>
      <c r="KS94" s="131"/>
      <c r="KT94" s="131"/>
      <c r="KU94" s="131"/>
      <c r="KV94" s="131"/>
      <c r="KW94" s="131"/>
      <c r="KX94" s="131"/>
      <c r="KY94" s="131"/>
      <c r="KZ94" s="131"/>
      <c r="LA94" s="131"/>
      <c r="LB94" s="131"/>
      <c r="LC94" s="131"/>
      <c r="LD94" s="131"/>
      <c r="LE94" s="131"/>
      <c r="LF94" s="131"/>
      <c r="LG94" s="131"/>
      <c r="LH94" s="131"/>
      <c r="LI94" s="131"/>
      <c r="LJ94" s="131"/>
      <c r="LK94" s="131"/>
      <c r="LL94" s="131"/>
      <c r="LM94" s="131"/>
      <c r="LN94" s="131"/>
      <c r="LO94" s="131"/>
      <c r="LP94" s="131"/>
      <c r="LQ94" s="131"/>
      <c r="LR94" s="131"/>
      <c r="LS94" s="131"/>
      <c r="LT94" s="131"/>
      <c r="LU94" s="131"/>
      <c r="LV94" s="131"/>
      <c r="LW94" s="131"/>
      <c r="LX94" s="131"/>
      <c r="LY94" s="131"/>
      <c r="LZ94" s="131"/>
      <c r="MA94" s="131"/>
      <c r="MB94" s="131"/>
      <c r="MC94" s="131"/>
      <c r="MD94" s="131"/>
      <c r="ME94" s="131"/>
      <c r="MF94" s="131"/>
      <c r="MG94" s="131"/>
      <c r="MH94" s="131"/>
      <c r="MI94" s="131"/>
      <c r="MJ94" s="131"/>
      <c r="MK94" s="131"/>
      <c r="ML94" s="131"/>
      <c r="MM94" s="131"/>
      <c r="MN94" s="131"/>
      <c r="MO94" s="131"/>
      <c r="MP94" s="131"/>
      <c r="MQ94" s="131"/>
      <c r="MR94" s="131"/>
      <c r="MS94" s="131"/>
      <c r="MT94" s="131"/>
      <c r="MU94" s="131"/>
      <c r="MV94" s="131"/>
      <c r="MW94" s="131"/>
      <c r="MX94" s="131"/>
      <c r="MY94" s="131"/>
      <c r="MZ94" s="131"/>
      <c r="NA94" s="131"/>
      <c r="NB94" s="131"/>
      <c r="NC94" s="131"/>
      <c r="ND94" s="131"/>
      <c r="NE94" s="131"/>
      <c r="NF94" s="131"/>
      <c r="NG94" s="131"/>
      <c r="NH94" s="131"/>
      <c r="NI94" s="131"/>
      <c r="NJ94" s="131"/>
      <c r="NK94" s="131"/>
      <c r="NL94" s="131"/>
      <c r="NM94" s="131"/>
      <c r="NN94" s="131"/>
      <c r="NO94" s="131"/>
      <c r="NP94" s="131"/>
      <c r="NQ94" s="131"/>
      <c r="NR94" s="131"/>
      <c r="NS94" s="131"/>
      <c r="NT94" s="131"/>
      <c r="NU94" s="131"/>
      <c r="NV94" s="131"/>
      <c r="NW94" s="131"/>
      <c r="NX94" s="131"/>
      <c r="NY94" s="131"/>
      <c r="NZ94" s="131"/>
      <c r="OA94" s="131"/>
      <c r="OB94" s="131"/>
      <c r="OC94" s="131"/>
      <c r="OD94" s="131"/>
      <c r="OE94" s="131"/>
      <c r="OF94" s="131"/>
      <c r="OG94" s="131"/>
      <c r="OH94" s="132"/>
    </row>
    <row r="95" spans="1:398" x14ac:dyDescent="0.35">
      <c r="A95" s="102"/>
      <c r="B95" s="168">
        <f t="shared" si="62"/>
        <v>67</v>
      </c>
      <c r="C95" s="171" t="s">
        <v>903</v>
      </c>
      <c r="D95" s="124" t="s">
        <v>752</v>
      </c>
      <c r="E95" s="124" t="s">
        <v>916</v>
      </c>
      <c r="F95" s="125" t="s">
        <v>914</v>
      </c>
      <c r="G95" s="125" t="s">
        <v>738</v>
      </c>
      <c r="H95" s="125"/>
      <c r="I95" s="130">
        <f t="shared" ref="I95:Q95" si="63">SUM(I91:I94)</f>
        <v>0</v>
      </c>
      <c r="J95" s="130">
        <f t="shared" si="63"/>
        <v>0</v>
      </c>
      <c r="K95" s="130">
        <f t="shared" si="63"/>
        <v>0</v>
      </c>
      <c r="L95" s="130">
        <f t="shared" si="63"/>
        <v>0</v>
      </c>
      <c r="M95" s="130">
        <f t="shared" si="63"/>
        <v>0</v>
      </c>
      <c r="N95" s="130">
        <f t="shared" si="63"/>
        <v>0</v>
      </c>
      <c r="O95" s="130">
        <f t="shared" si="63"/>
        <v>0</v>
      </c>
      <c r="P95" s="130">
        <f t="shared" si="63"/>
        <v>0</v>
      </c>
      <c r="Q95" s="130">
        <f t="shared" si="63"/>
        <v>0</v>
      </c>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c r="AW95" s="131"/>
      <c r="AX95" s="131"/>
      <c r="AY95" s="131"/>
      <c r="AZ95" s="131"/>
      <c r="BA95" s="131"/>
      <c r="BB95" s="131"/>
      <c r="BC95" s="131"/>
      <c r="BD95" s="131"/>
      <c r="BE95" s="131"/>
      <c r="BF95" s="131"/>
      <c r="BG95" s="131"/>
      <c r="BH95" s="131"/>
      <c r="BI95" s="131"/>
      <c r="BJ95" s="131"/>
      <c r="BK95" s="131"/>
      <c r="BL95" s="131"/>
      <c r="BM95" s="131"/>
      <c r="BN95" s="131"/>
      <c r="BO95" s="131"/>
      <c r="BP95" s="131"/>
      <c r="BQ95" s="131"/>
      <c r="BR95" s="131"/>
      <c r="BS95" s="131"/>
      <c r="BT95" s="131"/>
      <c r="BU95" s="131"/>
      <c r="BV95" s="131"/>
      <c r="BW95" s="131"/>
      <c r="BX95" s="131"/>
      <c r="BY95" s="131"/>
      <c r="BZ95" s="131"/>
      <c r="CA95" s="131"/>
      <c r="CB95" s="131"/>
      <c r="CC95" s="131"/>
      <c r="CD95" s="131"/>
      <c r="CE95" s="131"/>
      <c r="CF95" s="131"/>
      <c r="CG95" s="131"/>
      <c r="CH95" s="131"/>
      <c r="CI95" s="131"/>
      <c r="CJ95" s="131"/>
      <c r="CK95" s="131"/>
      <c r="CL95" s="131"/>
      <c r="CM95" s="131"/>
      <c r="CN95" s="131"/>
      <c r="CO95" s="131"/>
      <c r="CP95" s="131"/>
      <c r="CQ95" s="131"/>
      <c r="CR95" s="131"/>
      <c r="CS95" s="131"/>
      <c r="CT95" s="131"/>
      <c r="CU95" s="131"/>
      <c r="CV95" s="131"/>
      <c r="CW95" s="131"/>
      <c r="CX95" s="131"/>
      <c r="CY95" s="131"/>
      <c r="CZ95" s="131"/>
      <c r="DA95" s="131"/>
      <c r="DB95" s="131"/>
      <c r="DC95" s="131"/>
      <c r="DD95" s="131"/>
      <c r="DE95" s="131"/>
      <c r="DF95" s="131"/>
      <c r="DG95" s="131"/>
      <c r="DH95" s="131"/>
      <c r="DI95" s="131"/>
      <c r="DJ95" s="131"/>
      <c r="DK95" s="131"/>
      <c r="DL95" s="131"/>
      <c r="DM95" s="131"/>
      <c r="DN95" s="131"/>
      <c r="DO95" s="131"/>
      <c r="DP95" s="131"/>
      <c r="DQ95" s="131"/>
      <c r="DR95" s="131"/>
      <c r="DS95" s="131"/>
      <c r="DT95" s="131"/>
      <c r="DU95" s="131"/>
      <c r="DV95" s="131"/>
      <c r="DW95" s="131"/>
      <c r="DX95" s="131"/>
      <c r="DY95" s="131"/>
      <c r="DZ95" s="131"/>
      <c r="EA95" s="131"/>
      <c r="EB95" s="131"/>
      <c r="EC95" s="131"/>
      <c r="ED95" s="131"/>
      <c r="EE95" s="131"/>
      <c r="EF95" s="131"/>
      <c r="EG95" s="131"/>
      <c r="EH95" s="131"/>
      <c r="EI95" s="131"/>
      <c r="EJ95" s="131"/>
      <c r="EK95" s="131"/>
      <c r="EL95" s="131"/>
      <c r="EM95" s="131"/>
      <c r="EN95" s="131"/>
      <c r="EO95" s="131"/>
      <c r="EP95" s="131"/>
      <c r="EQ95" s="131"/>
      <c r="ER95" s="131"/>
      <c r="ES95" s="131"/>
      <c r="ET95" s="131"/>
      <c r="EU95" s="131"/>
      <c r="EV95" s="131"/>
      <c r="EW95" s="131"/>
      <c r="EX95" s="131"/>
      <c r="EY95" s="131"/>
      <c r="EZ95" s="131"/>
      <c r="FA95" s="131"/>
      <c r="FB95" s="131"/>
      <c r="FC95" s="131"/>
      <c r="FD95" s="131"/>
      <c r="FE95" s="131"/>
      <c r="FF95" s="131"/>
      <c r="FG95" s="131"/>
      <c r="FH95" s="131"/>
      <c r="FI95" s="131"/>
      <c r="FJ95" s="131"/>
      <c r="FK95" s="131"/>
      <c r="FL95" s="131"/>
      <c r="FM95" s="131"/>
      <c r="FN95" s="131"/>
      <c r="FO95" s="131"/>
      <c r="FP95" s="131"/>
      <c r="FQ95" s="131"/>
      <c r="FR95" s="131"/>
      <c r="FS95" s="131"/>
      <c r="FT95" s="131"/>
      <c r="FU95" s="131"/>
      <c r="FV95" s="131"/>
      <c r="FW95" s="131"/>
      <c r="FX95" s="131"/>
      <c r="FY95" s="131"/>
      <c r="FZ95" s="131"/>
      <c r="GA95" s="131"/>
      <c r="GB95" s="131"/>
      <c r="GC95" s="131"/>
      <c r="GD95" s="131"/>
      <c r="GE95" s="131"/>
      <c r="GF95" s="131"/>
      <c r="GG95" s="131"/>
      <c r="GH95" s="131"/>
      <c r="GI95" s="131"/>
      <c r="GJ95" s="131"/>
      <c r="GK95" s="131"/>
      <c r="GL95" s="131"/>
      <c r="GM95" s="131"/>
      <c r="GN95" s="131"/>
      <c r="GO95" s="131"/>
      <c r="GP95" s="131"/>
      <c r="GQ95" s="131"/>
      <c r="GR95" s="131"/>
      <c r="GS95" s="131"/>
      <c r="GT95" s="131"/>
      <c r="GU95" s="131"/>
      <c r="GV95" s="131"/>
      <c r="GW95" s="131"/>
      <c r="GX95" s="131"/>
      <c r="GY95" s="131"/>
      <c r="GZ95" s="131"/>
      <c r="HA95" s="131"/>
      <c r="HB95" s="131"/>
      <c r="HC95" s="131"/>
      <c r="HD95" s="131"/>
      <c r="HE95" s="131"/>
      <c r="HF95" s="131"/>
      <c r="HG95" s="131"/>
      <c r="HH95" s="131"/>
      <c r="HI95" s="131"/>
      <c r="HJ95" s="131"/>
      <c r="HK95" s="131"/>
      <c r="HL95" s="131"/>
      <c r="HM95" s="131"/>
      <c r="HN95" s="131"/>
      <c r="HO95" s="131"/>
      <c r="HP95" s="131"/>
      <c r="HQ95" s="131"/>
      <c r="HR95" s="131"/>
      <c r="HS95" s="131"/>
      <c r="HT95" s="131"/>
      <c r="HU95" s="131"/>
      <c r="HV95" s="131"/>
      <c r="HW95" s="131"/>
      <c r="HX95" s="131"/>
      <c r="HY95" s="131"/>
      <c r="HZ95" s="131"/>
      <c r="IA95" s="131"/>
      <c r="IB95" s="131"/>
      <c r="IC95" s="131"/>
      <c r="ID95" s="131"/>
      <c r="IE95" s="131"/>
      <c r="IF95" s="131"/>
      <c r="IG95" s="131"/>
      <c r="IH95" s="131"/>
      <c r="II95" s="131"/>
      <c r="IJ95" s="131"/>
      <c r="IK95" s="131"/>
      <c r="IL95" s="131"/>
      <c r="IM95" s="131"/>
      <c r="IN95" s="131"/>
      <c r="IO95" s="131"/>
      <c r="IP95" s="131"/>
      <c r="IQ95" s="131"/>
      <c r="IR95" s="131"/>
      <c r="IS95" s="131"/>
      <c r="IT95" s="131"/>
      <c r="IU95" s="131"/>
      <c r="IV95" s="131"/>
      <c r="IW95" s="131"/>
      <c r="IX95" s="131"/>
      <c r="IY95" s="131"/>
      <c r="IZ95" s="131"/>
      <c r="JA95" s="131"/>
      <c r="JB95" s="131"/>
      <c r="JC95" s="131"/>
      <c r="JD95" s="131"/>
      <c r="JE95" s="131"/>
      <c r="JF95" s="131"/>
      <c r="JG95" s="131"/>
      <c r="JH95" s="131"/>
      <c r="JI95" s="131"/>
      <c r="JJ95" s="131"/>
      <c r="JK95" s="131"/>
      <c r="JL95" s="131"/>
      <c r="JM95" s="131"/>
      <c r="JN95" s="131"/>
      <c r="JO95" s="131"/>
      <c r="JP95" s="131"/>
      <c r="JQ95" s="131"/>
      <c r="JR95" s="131"/>
      <c r="JS95" s="131"/>
      <c r="JT95" s="131"/>
      <c r="JU95" s="131"/>
      <c r="JV95" s="131"/>
      <c r="JW95" s="131"/>
      <c r="JX95" s="131"/>
      <c r="JY95" s="131"/>
      <c r="JZ95" s="131"/>
      <c r="KA95" s="131"/>
      <c r="KB95" s="131"/>
      <c r="KC95" s="131"/>
      <c r="KD95" s="131"/>
      <c r="KE95" s="131"/>
      <c r="KF95" s="131"/>
      <c r="KG95" s="131"/>
      <c r="KH95" s="131"/>
      <c r="KI95" s="131"/>
      <c r="KJ95" s="131"/>
      <c r="KK95" s="131"/>
      <c r="KL95" s="131"/>
      <c r="KM95" s="131"/>
      <c r="KN95" s="131"/>
      <c r="KO95" s="131"/>
      <c r="KP95" s="131"/>
      <c r="KQ95" s="131"/>
      <c r="KR95" s="131"/>
      <c r="KS95" s="131"/>
      <c r="KT95" s="131"/>
      <c r="KU95" s="131"/>
      <c r="KV95" s="131"/>
      <c r="KW95" s="131"/>
      <c r="KX95" s="131"/>
      <c r="KY95" s="131"/>
      <c r="KZ95" s="131"/>
      <c r="LA95" s="131"/>
      <c r="LB95" s="131"/>
      <c r="LC95" s="131"/>
      <c r="LD95" s="131"/>
      <c r="LE95" s="131"/>
      <c r="LF95" s="131"/>
      <c r="LG95" s="131"/>
      <c r="LH95" s="131"/>
      <c r="LI95" s="131"/>
      <c r="LJ95" s="131"/>
      <c r="LK95" s="131"/>
      <c r="LL95" s="131"/>
      <c r="LM95" s="131"/>
      <c r="LN95" s="131"/>
      <c r="LO95" s="131"/>
      <c r="LP95" s="131"/>
      <c r="LQ95" s="131"/>
      <c r="LR95" s="131"/>
      <c r="LS95" s="131"/>
      <c r="LT95" s="131"/>
      <c r="LU95" s="131"/>
      <c r="LV95" s="131"/>
      <c r="LW95" s="131"/>
      <c r="LX95" s="131"/>
      <c r="LY95" s="131"/>
      <c r="LZ95" s="131"/>
      <c r="MA95" s="131"/>
      <c r="MB95" s="131"/>
      <c r="MC95" s="131"/>
      <c r="MD95" s="131"/>
      <c r="ME95" s="131"/>
      <c r="MF95" s="131"/>
      <c r="MG95" s="131"/>
      <c r="MH95" s="131"/>
      <c r="MI95" s="131"/>
      <c r="MJ95" s="131"/>
      <c r="MK95" s="131"/>
      <c r="ML95" s="131"/>
      <c r="MM95" s="131"/>
      <c r="MN95" s="131"/>
      <c r="MO95" s="131"/>
      <c r="MP95" s="131"/>
      <c r="MQ95" s="131"/>
      <c r="MR95" s="131"/>
      <c r="MS95" s="131"/>
      <c r="MT95" s="131"/>
      <c r="MU95" s="131"/>
      <c r="MV95" s="131"/>
      <c r="MW95" s="131"/>
      <c r="MX95" s="131"/>
      <c r="MY95" s="131"/>
      <c r="MZ95" s="131"/>
      <c r="NA95" s="131"/>
      <c r="NB95" s="131"/>
      <c r="NC95" s="131"/>
      <c r="ND95" s="131"/>
      <c r="NE95" s="131"/>
      <c r="NF95" s="131"/>
      <c r="NG95" s="131"/>
      <c r="NH95" s="131"/>
      <c r="NI95" s="131"/>
      <c r="NJ95" s="131"/>
      <c r="NK95" s="131"/>
      <c r="NL95" s="131"/>
      <c r="NM95" s="131"/>
      <c r="NN95" s="131"/>
      <c r="NO95" s="131"/>
      <c r="NP95" s="131"/>
      <c r="NQ95" s="131"/>
      <c r="NR95" s="131"/>
      <c r="NS95" s="131"/>
      <c r="NT95" s="131"/>
      <c r="NU95" s="131"/>
      <c r="NV95" s="131"/>
      <c r="NW95" s="131"/>
      <c r="NX95" s="131"/>
      <c r="NY95" s="131"/>
      <c r="NZ95" s="131"/>
      <c r="OA95" s="131"/>
      <c r="OB95" s="131"/>
      <c r="OC95" s="131"/>
      <c r="OD95" s="131"/>
      <c r="OE95" s="131"/>
      <c r="OF95" s="131"/>
      <c r="OG95" s="131"/>
      <c r="OH95" s="132"/>
    </row>
    <row r="96" spans="1:398" x14ac:dyDescent="0.35">
      <c r="A96" s="102"/>
      <c r="B96" s="168">
        <f t="shared" si="62"/>
        <v>68</v>
      </c>
      <c r="C96" s="171" t="s">
        <v>903</v>
      </c>
      <c r="D96" s="124" t="s">
        <v>752</v>
      </c>
      <c r="E96" s="124" t="s">
        <v>916</v>
      </c>
      <c r="F96" s="125" t="s">
        <v>906</v>
      </c>
      <c r="G96" s="125" t="s">
        <v>739</v>
      </c>
      <c r="H96" s="125"/>
      <c r="I96" s="129">
        <v>0</v>
      </c>
      <c r="J96" s="129">
        <v>0</v>
      </c>
      <c r="K96" s="129">
        <v>0</v>
      </c>
      <c r="L96" s="129">
        <v>0</v>
      </c>
      <c r="M96" s="129">
        <v>0</v>
      </c>
      <c r="N96" s="129">
        <v>0</v>
      </c>
      <c r="O96" s="130">
        <f t="shared" ref="O96:O101" si="64">SUM(P96,R96)</f>
        <v>0</v>
      </c>
      <c r="P96" s="129">
        <v>0</v>
      </c>
      <c r="Q96" s="129">
        <v>0</v>
      </c>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c r="AW96" s="131"/>
      <c r="AX96" s="131"/>
      <c r="AY96" s="131"/>
      <c r="AZ96" s="131"/>
      <c r="BA96" s="131"/>
      <c r="BB96" s="131"/>
      <c r="BC96" s="131"/>
      <c r="BD96" s="131"/>
      <c r="BE96" s="131"/>
      <c r="BF96" s="131"/>
      <c r="BG96" s="131"/>
      <c r="BH96" s="131"/>
      <c r="BI96" s="131"/>
      <c r="BJ96" s="131"/>
      <c r="BK96" s="131"/>
      <c r="BL96" s="131"/>
      <c r="BM96" s="131"/>
      <c r="BN96" s="131"/>
      <c r="BO96" s="131"/>
      <c r="BP96" s="131"/>
      <c r="BQ96" s="131"/>
      <c r="BR96" s="131"/>
      <c r="BS96" s="131"/>
      <c r="BT96" s="131"/>
      <c r="BU96" s="131"/>
      <c r="BV96" s="131"/>
      <c r="BW96" s="131"/>
      <c r="BX96" s="131"/>
      <c r="BY96" s="131"/>
      <c r="BZ96" s="131"/>
      <c r="CA96" s="131"/>
      <c r="CB96" s="131"/>
      <c r="CC96" s="131"/>
      <c r="CD96" s="131"/>
      <c r="CE96" s="131"/>
      <c r="CF96" s="131"/>
      <c r="CG96" s="131"/>
      <c r="CH96" s="131"/>
      <c r="CI96" s="131"/>
      <c r="CJ96" s="131"/>
      <c r="CK96" s="131"/>
      <c r="CL96" s="131"/>
      <c r="CM96" s="131"/>
      <c r="CN96" s="131"/>
      <c r="CO96" s="131"/>
      <c r="CP96" s="131"/>
      <c r="CQ96" s="131"/>
      <c r="CR96" s="131"/>
      <c r="CS96" s="131"/>
      <c r="CT96" s="131"/>
      <c r="CU96" s="131"/>
      <c r="CV96" s="131"/>
      <c r="CW96" s="131"/>
      <c r="CX96" s="131"/>
      <c r="CY96" s="131"/>
      <c r="CZ96" s="131"/>
      <c r="DA96" s="131"/>
      <c r="DB96" s="131"/>
      <c r="DC96" s="131"/>
      <c r="DD96" s="131"/>
      <c r="DE96" s="131"/>
      <c r="DF96" s="131"/>
      <c r="DG96" s="131"/>
      <c r="DH96" s="131"/>
      <c r="DI96" s="131"/>
      <c r="DJ96" s="131"/>
      <c r="DK96" s="131"/>
      <c r="DL96" s="131"/>
      <c r="DM96" s="131"/>
      <c r="DN96" s="131"/>
      <c r="DO96" s="131"/>
      <c r="DP96" s="131"/>
      <c r="DQ96" s="131"/>
      <c r="DR96" s="131"/>
      <c r="DS96" s="131"/>
      <c r="DT96" s="131"/>
      <c r="DU96" s="131"/>
      <c r="DV96" s="131"/>
      <c r="DW96" s="131"/>
      <c r="DX96" s="131"/>
      <c r="DY96" s="131"/>
      <c r="DZ96" s="131"/>
      <c r="EA96" s="131"/>
      <c r="EB96" s="131"/>
      <c r="EC96" s="131"/>
      <c r="ED96" s="131"/>
      <c r="EE96" s="131"/>
      <c r="EF96" s="131"/>
      <c r="EG96" s="131"/>
      <c r="EH96" s="131"/>
      <c r="EI96" s="131"/>
      <c r="EJ96" s="131"/>
      <c r="EK96" s="131"/>
      <c r="EL96" s="131"/>
      <c r="EM96" s="131"/>
      <c r="EN96" s="131"/>
      <c r="EO96" s="131"/>
      <c r="EP96" s="131"/>
      <c r="EQ96" s="131"/>
      <c r="ER96" s="131"/>
      <c r="ES96" s="131"/>
      <c r="ET96" s="131"/>
      <c r="EU96" s="131"/>
      <c r="EV96" s="131"/>
      <c r="EW96" s="131"/>
      <c r="EX96" s="131"/>
      <c r="EY96" s="131"/>
      <c r="EZ96" s="131"/>
      <c r="FA96" s="131"/>
      <c r="FB96" s="131"/>
      <c r="FC96" s="131"/>
      <c r="FD96" s="131"/>
      <c r="FE96" s="131"/>
      <c r="FF96" s="131"/>
      <c r="FG96" s="131"/>
      <c r="FH96" s="131"/>
      <c r="FI96" s="131"/>
      <c r="FJ96" s="131"/>
      <c r="FK96" s="131"/>
      <c r="FL96" s="131"/>
      <c r="FM96" s="131"/>
      <c r="FN96" s="131"/>
      <c r="FO96" s="131"/>
      <c r="FP96" s="131"/>
      <c r="FQ96" s="131"/>
      <c r="FR96" s="131"/>
      <c r="FS96" s="131"/>
      <c r="FT96" s="131"/>
      <c r="FU96" s="131"/>
      <c r="FV96" s="131"/>
      <c r="FW96" s="131"/>
      <c r="FX96" s="131"/>
      <c r="FY96" s="131"/>
      <c r="FZ96" s="131"/>
      <c r="GA96" s="131"/>
      <c r="GB96" s="131"/>
      <c r="GC96" s="131"/>
      <c r="GD96" s="131"/>
      <c r="GE96" s="131"/>
      <c r="GF96" s="131"/>
      <c r="GG96" s="131"/>
      <c r="GH96" s="131"/>
      <c r="GI96" s="131"/>
      <c r="GJ96" s="131"/>
      <c r="GK96" s="131"/>
      <c r="GL96" s="131"/>
      <c r="GM96" s="131"/>
      <c r="GN96" s="131"/>
      <c r="GO96" s="131"/>
      <c r="GP96" s="131"/>
      <c r="GQ96" s="131"/>
      <c r="GR96" s="131"/>
      <c r="GS96" s="131"/>
      <c r="GT96" s="131"/>
      <c r="GU96" s="131"/>
      <c r="GV96" s="131"/>
      <c r="GW96" s="131"/>
      <c r="GX96" s="131"/>
      <c r="GY96" s="131"/>
      <c r="GZ96" s="131"/>
      <c r="HA96" s="131"/>
      <c r="HB96" s="131"/>
      <c r="HC96" s="131"/>
      <c r="HD96" s="131"/>
      <c r="HE96" s="131"/>
      <c r="HF96" s="131"/>
      <c r="HG96" s="131"/>
      <c r="HH96" s="131"/>
      <c r="HI96" s="131"/>
      <c r="HJ96" s="131"/>
      <c r="HK96" s="131"/>
      <c r="HL96" s="131"/>
      <c r="HM96" s="131"/>
      <c r="HN96" s="131"/>
      <c r="HO96" s="131"/>
      <c r="HP96" s="131"/>
      <c r="HQ96" s="131"/>
      <c r="HR96" s="131"/>
      <c r="HS96" s="131"/>
      <c r="HT96" s="131"/>
      <c r="HU96" s="131"/>
      <c r="HV96" s="131"/>
      <c r="HW96" s="131"/>
      <c r="HX96" s="131"/>
      <c r="HY96" s="131"/>
      <c r="HZ96" s="131"/>
      <c r="IA96" s="131"/>
      <c r="IB96" s="131"/>
      <c r="IC96" s="131"/>
      <c r="ID96" s="131"/>
      <c r="IE96" s="131"/>
      <c r="IF96" s="131"/>
      <c r="IG96" s="131"/>
      <c r="IH96" s="131"/>
      <c r="II96" s="131"/>
      <c r="IJ96" s="131"/>
      <c r="IK96" s="131"/>
      <c r="IL96" s="131"/>
      <c r="IM96" s="131"/>
      <c r="IN96" s="131"/>
      <c r="IO96" s="131"/>
      <c r="IP96" s="131"/>
      <c r="IQ96" s="131"/>
      <c r="IR96" s="131"/>
      <c r="IS96" s="131"/>
      <c r="IT96" s="131"/>
      <c r="IU96" s="131"/>
      <c r="IV96" s="131"/>
      <c r="IW96" s="131"/>
      <c r="IX96" s="131"/>
      <c r="IY96" s="131"/>
      <c r="IZ96" s="131"/>
      <c r="JA96" s="131"/>
      <c r="JB96" s="131"/>
      <c r="JC96" s="131"/>
      <c r="JD96" s="131"/>
      <c r="JE96" s="131"/>
      <c r="JF96" s="131"/>
      <c r="JG96" s="131"/>
      <c r="JH96" s="131"/>
      <c r="JI96" s="131"/>
      <c r="JJ96" s="131"/>
      <c r="JK96" s="131"/>
      <c r="JL96" s="131"/>
      <c r="JM96" s="131"/>
      <c r="JN96" s="131"/>
      <c r="JO96" s="131"/>
      <c r="JP96" s="131"/>
      <c r="JQ96" s="131"/>
      <c r="JR96" s="131"/>
      <c r="JS96" s="131"/>
      <c r="JT96" s="131"/>
      <c r="JU96" s="131"/>
      <c r="JV96" s="131"/>
      <c r="JW96" s="131"/>
      <c r="JX96" s="131"/>
      <c r="JY96" s="131"/>
      <c r="JZ96" s="131"/>
      <c r="KA96" s="131"/>
      <c r="KB96" s="131"/>
      <c r="KC96" s="131"/>
      <c r="KD96" s="131"/>
      <c r="KE96" s="131"/>
      <c r="KF96" s="131"/>
      <c r="KG96" s="131"/>
      <c r="KH96" s="131"/>
      <c r="KI96" s="131"/>
      <c r="KJ96" s="131"/>
      <c r="KK96" s="131"/>
      <c r="KL96" s="131"/>
      <c r="KM96" s="131"/>
      <c r="KN96" s="131"/>
      <c r="KO96" s="131"/>
      <c r="KP96" s="131"/>
      <c r="KQ96" s="131"/>
      <c r="KR96" s="131"/>
      <c r="KS96" s="131"/>
      <c r="KT96" s="131"/>
      <c r="KU96" s="131"/>
      <c r="KV96" s="131"/>
      <c r="KW96" s="131"/>
      <c r="KX96" s="131"/>
      <c r="KY96" s="131"/>
      <c r="KZ96" s="131"/>
      <c r="LA96" s="131"/>
      <c r="LB96" s="131"/>
      <c r="LC96" s="131"/>
      <c r="LD96" s="131"/>
      <c r="LE96" s="131"/>
      <c r="LF96" s="131"/>
      <c r="LG96" s="131"/>
      <c r="LH96" s="131"/>
      <c r="LI96" s="131"/>
      <c r="LJ96" s="131"/>
      <c r="LK96" s="131"/>
      <c r="LL96" s="131"/>
      <c r="LM96" s="131"/>
      <c r="LN96" s="131"/>
      <c r="LO96" s="131"/>
      <c r="LP96" s="131"/>
      <c r="LQ96" s="131"/>
      <c r="LR96" s="131"/>
      <c r="LS96" s="131"/>
      <c r="LT96" s="131"/>
      <c r="LU96" s="131"/>
      <c r="LV96" s="131"/>
      <c r="LW96" s="131"/>
      <c r="LX96" s="131"/>
      <c r="LY96" s="131"/>
      <c r="LZ96" s="131"/>
      <c r="MA96" s="131"/>
      <c r="MB96" s="131"/>
      <c r="MC96" s="131"/>
      <c r="MD96" s="131"/>
      <c r="ME96" s="131"/>
      <c r="MF96" s="131"/>
      <c r="MG96" s="131"/>
      <c r="MH96" s="131"/>
      <c r="MI96" s="131"/>
      <c r="MJ96" s="131"/>
      <c r="MK96" s="131"/>
      <c r="ML96" s="131"/>
      <c r="MM96" s="131"/>
      <c r="MN96" s="131"/>
      <c r="MO96" s="131"/>
      <c r="MP96" s="131"/>
      <c r="MQ96" s="131"/>
      <c r="MR96" s="131"/>
      <c r="MS96" s="131"/>
      <c r="MT96" s="131"/>
      <c r="MU96" s="131"/>
      <c r="MV96" s="131"/>
      <c r="MW96" s="131"/>
      <c r="MX96" s="131"/>
      <c r="MY96" s="131"/>
      <c r="MZ96" s="131"/>
      <c r="NA96" s="131"/>
      <c r="NB96" s="131"/>
      <c r="NC96" s="131"/>
      <c r="ND96" s="131"/>
      <c r="NE96" s="131"/>
      <c r="NF96" s="131"/>
      <c r="NG96" s="131"/>
      <c r="NH96" s="131"/>
      <c r="NI96" s="131"/>
      <c r="NJ96" s="131"/>
      <c r="NK96" s="131"/>
      <c r="NL96" s="131"/>
      <c r="NM96" s="131"/>
      <c r="NN96" s="131"/>
      <c r="NO96" s="131"/>
      <c r="NP96" s="131"/>
      <c r="NQ96" s="131"/>
      <c r="NR96" s="131"/>
      <c r="NS96" s="131"/>
      <c r="NT96" s="131"/>
      <c r="NU96" s="131"/>
      <c r="NV96" s="131"/>
      <c r="NW96" s="131"/>
      <c r="NX96" s="131"/>
      <c r="NY96" s="131"/>
      <c r="NZ96" s="131"/>
      <c r="OA96" s="131"/>
      <c r="OB96" s="131"/>
      <c r="OC96" s="131"/>
      <c r="OD96" s="131"/>
      <c r="OE96" s="131"/>
      <c r="OF96" s="131"/>
      <c r="OG96" s="131"/>
      <c r="OH96" s="132"/>
    </row>
    <row r="97" spans="1:398" x14ac:dyDescent="0.35">
      <c r="A97" s="102"/>
      <c r="B97" s="168">
        <f t="shared" si="62"/>
        <v>69</v>
      </c>
      <c r="C97" s="171" t="s">
        <v>903</v>
      </c>
      <c r="D97" s="124" t="s">
        <v>752</v>
      </c>
      <c r="E97" s="124" t="s">
        <v>916</v>
      </c>
      <c r="F97" s="125" t="s">
        <v>906</v>
      </c>
      <c r="G97" s="125" t="s">
        <v>740</v>
      </c>
      <c r="H97" s="125"/>
      <c r="I97" s="129">
        <v>0</v>
      </c>
      <c r="J97" s="129">
        <v>0</v>
      </c>
      <c r="K97" s="129">
        <v>0</v>
      </c>
      <c r="L97" s="129">
        <v>0</v>
      </c>
      <c r="M97" s="129">
        <v>0</v>
      </c>
      <c r="N97" s="129">
        <v>0</v>
      </c>
      <c r="O97" s="130">
        <f t="shared" si="64"/>
        <v>0</v>
      </c>
      <c r="P97" s="129">
        <v>0</v>
      </c>
      <c r="Q97" s="129">
        <v>0</v>
      </c>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31"/>
      <c r="AY97" s="131"/>
      <c r="AZ97" s="131"/>
      <c r="BA97" s="131"/>
      <c r="BB97" s="131"/>
      <c r="BC97" s="131"/>
      <c r="BD97" s="131"/>
      <c r="BE97" s="131"/>
      <c r="BF97" s="131"/>
      <c r="BG97" s="131"/>
      <c r="BH97" s="131"/>
      <c r="BI97" s="131"/>
      <c r="BJ97" s="131"/>
      <c r="BK97" s="131"/>
      <c r="BL97" s="131"/>
      <c r="BM97" s="131"/>
      <c r="BN97" s="131"/>
      <c r="BO97" s="131"/>
      <c r="BP97" s="131"/>
      <c r="BQ97" s="131"/>
      <c r="BR97" s="131"/>
      <c r="BS97" s="131"/>
      <c r="BT97" s="131"/>
      <c r="BU97" s="131"/>
      <c r="BV97" s="131"/>
      <c r="BW97" s="131"/>
      <c r="BX97" s="131"/>
      <c r="BY97" s="131"/>
      <c r="BZ97" s="131"/>
      <c r="CA97" s="131"/>
      <c r="CB97" s="131"/>
      <c r="CC97" s="131"/>
      <c r="CD97" s="131"/>
      <c r="CE97" s="131"/>
      <c r="CF97" s="131"/>
      <c r="CG97" s="131"/>
      <c r="CH97" s="131"/>
      <c r="CI97" s="131"/>
      <c r="CJ97" s="131"/>
      <c r="CK97" s="131"/>
      <c r="CL97" s="131"/>
      <c r="CM97" s="131"/>
      <c r="CN97" s="131"/>
      <c r="CO97" s="131"/>
      <c r="CP97" s="131"/>
      <c r="CQ97" s="131"/>
      <c r="CR97" s="131"/>
      <c r="CS97" s="131"/>
      <c r="CT97" s="131"/>
      <c r="CU97" s="131"/>
      <c r="CV97" s="131"/>
      <c r="CW97" s="131"/>
      <c r="CX97" s="131"/>
      <c r="CY97" s="131"/>
      <c r="CZ97" s="131"/>
      <c r="DA97" s="131"/>
      <c r="DB97" s="131"/>
      <c r="DC97" s="131"/>
      <c r="DD97" s="131"/>
      <c r="DE97" s="131"/>
      <c r="DF97" s="131"/>
      <c r="DG97" s="131"/>
      <c r="DH97" s="131"/>
      <c r="DI97" s="131"/>
      <c r="DJ97" s="131"/>
      <c r="DK97" s="131"/>
      <c r="DL97" s="131"/>
      <c r="DM97" s="131"/>
      <c r="DN97" s="131"/>
      <c r="DO97" s="131"/>
      <c r="DP97" s="131"/>
      <c r="DQ97" s="131"/>
      <c r="DR97" s="131"/>
      <c r="DS97" s="131"/>
      <c r="DT97" s="131"/>
      <c r="DU97" s="131"/>
      <c r="DV97" s="131"/>
      <c r="DW97" s="131"/>
      <c r="DX97" s="131"/>
      <c r="DY97" s="131"/>
      <c r="DZ97" s="131"/>
      <c r="EA97" s="131"/>
      <c r="EB97" s="131"/>
      <c r="EC97" s="131"/>
      <c r="ED97" s="131"/>
      <c r="EE97" s="131"/>
      <c r="EF97" s="131"/>
      <c r="EG97" s="131"/>
      <c r="EH97" s="131"/>
      <c r="EI97" s="131"/>
      <c r="EJ97" s="131"/>
      <c r="EK97" s="131"/>
      <c r="EL97" s="131"/>
      <c r="EM97" s="131"/>
      <c r="EN97" s="131"/>
      <c r="EO97" s="131"/>
      <c r="EP97" s="131"/>
      <c r="EQ97" s="131"/>
      <c r="ER97" s="131"/>
      <c r="ES97" s="131"/>
      <c r="ET97" s="131"/>
      <c r="EU97" s="131"/>
      <c r="EV97" s="131"/>
      <c r="EW97" s="131"/>
      <c r="EX97" s="131"/>
      <c r="EY97" s="131"/>
      <c r="EZ97" s="131"/>
      <c r="FA97" s="131"/>
      <c r="FB97" s="131"/>
      <c r="FC97" s="131"/>
      <c r="FD97" s="131"/>
      <c r="FE97" s="131"/>
      <c r="FF97" s="131"/>
      <c r="FG97" s="131"/>
      <c r="FH97" s="131"/>
      <c r="FI97" s="131"/>
      <c r="FJ97" s="131"/>
      <c r="FK97" s="131"/>
      <c r="FL97" s="131"/>
      <c r="FM97" s="131"/>
      <c r="FN97" s="131"/>
      <c r="FO97" s="131"/>
      <c r="FP97" s="131"/>
      <c r="FQ97" s="131"/>
      <c r="FR97" s="131"/>
      <c r="FS97" s="131"/>
      <c r="FT97" s="131"/>
      <c r="FU97" s="131"/>
      <c r="FV97" s="131"/>
      <c r="FW97" s="131"/>
      <c r="FX97" s="131"/>
      <c r="FY97" s="131"/>
      <c r="FZ97" s="131"/>
      <c r="GA97" s="131"/>
      <c r="GB97" s="131"/>
      <c r="GC97" s="131"/>
      <c r="GD97" s="131"/>
      <c r="GE97" s="131"/>
      <c r="GF97" s="131"/>
      <c r="GG97" s="131"/>
      <c r="GH97" s="131"/>
      <c r="GI97" s="131"/>
      <c r="GJ97" s="131"/>
      <c r="GK97" s="131"/>
      <c r="GL97" s="131"/>
      <c r="GM97" s="131"/>
      <c r="GN97" s="131"/>
      <c r="GO97" s="131"/>
      <c r="GP97" s="131"/>
      <c r="GQ97" s="131"/>
      <c r="GR97" s="131"/>
      <c r="GS97" s="131"/>
      <c r="GT97" s="131"/>
      <c r="GU97" s="131"/>
      <c r="GV97" s="131"/>
      <c r="GW97" s="131"/>
      <c r="GX97" s="131"/>
      <c r="GY97" s="131"/>
      <c r="GZ97" s="131"/>
      <c r="HA97" s="131"/>
      <c r="HB97" s="131"/>
      <c r="HC97" s="131"/>
      <c r="HD97" s="131"/>
      <c r="HE97" s="131"/>
      <c r="HF97" s="131"/>
      <c r="HG97" s="131"/>
      <c r="HH97" s="131"/>
      <c r="HI97" s="131"/>
      <c r="HJ97" s="131"/>
      <c r="HK97" s="131"/>
      <c r="HL97" s="131"/>
      <c r="HM97" s="131"/>
      <c r="HN97" s="131"/>
      <c r="HO97" s="131"/>
      <c r="HP97" s="131"/>
      <c r="HQ97" s="131"/>
      <c r="HR97" s="131"/>
      <c r="HS97" s="131"/>
      <c r="HT97" s="131"/>
      <c r="HU97" s="131"/>
      <c r="HV97" s="131"/>
      <c r="HW97" s="131"/>
      <c r="HX97" s="131"/>
      <c r="HY97" s="131"/>
      <c r="HZ97" s="131"/>
      <c r="IA97" s="131"/>
      <c r="IB97" s="131"/>
      <c r="IC97" s="131"/>
      <c r="ID97" s="131"/>
      <c r="IE97" s="131"/>
      <c r="IF97" s="131"/>
      <c r="IG97" s="131"/>
      <c r="IH97" s="131"/>
      <c r="II97" s="131"/>
      <c r="IJ97" s="131"/>
      <c r="IK97" s="131"/>
      <c r="IL97" s="131"/>
      <c r="IM97" s="131"/>
      <c r="IN97" s="131"/>
      <c r="IO97" s="131"/>
      <c r="IP97" s="131"/>
      <c r="IQ97" s="131"/>
      <c r="IR97" s="131"/>
      <c r="IS97" s="131"/>
      <c r="IT97" s="131"/>
      <c r="IU97" s="131"/>
      <c r="IV97" s="131"/>
      <c r="IW97" s="131"/>
      <c r="IX97" s="131"/>
      <c r="IY97" s="131"/>
      <c r="IZ97" s="131"/>
      <c r="JA97" s="131"/>
      <c r="JB97" s="131"/>
      <c r="JC97" s="131"/>
      <c r="JD97" s="131"/>
      <c r="JE97" s="131"/>
      <c r="JF97" s="131"/>
      <c r="JG97" s="131"/>
      <c r="JH97" s="131"/>
      <c r="JI97" s="131"/>
      <c r="JJ97" s="131"/>
      <c r="JK97" s="131"/>
      <c r="JL97" s="131"/>
      <c r="JM97" s="131"/>
      <c r="JN97" s="131"/>
      <c r="JO97" s="131"/>
      <c r="JP97" s="131"/>
      <c r="JQ97" s="131"/>
      <c r="JR97" s="131"/>
      <c r="JS97" s="131"/>
      <c r="JT97" s="131"/>
      <c r="JU97" s="131"/>
      <c r="JV97" s="131"/>
      <c r="JW97" s="131"/>
      <c r="JX97" s="131"/>
      <c r="JY97" s="131"/>
      <c r="JZ97" s="131"/>
      <c r="KA97" s="131"/>
      <c r="KB97" s="131"/>
      <c r="KC97" s="131"/>
      <c r="KD97" s="131"/>
      <c r="KE97" s="131"/>
      <c r="KF97" s="131"/>
      <c r="KG97" s="131"/>
      <c r="KH97" s="131"/>
      <c r="KI97" s="131"/>
      <c r="KJ97" s="131"/>
      <c r="KK97" s="131"/>
      <c r="KL97" s="131"/>
      <c r="KM97" s="131"/>
      <c r="KN97" s="131"/>
      <c r="KO97" s="131"/>
      <c r="KP97" s="131"/>
      <c r="KQ97" s="131"/>
      <c r="KR97" s="131"/>
      <c r="KS97" s="131"/>
      <c r="KT97" s="131"/>
      <c r="KU97" s="131"/>
      <c r="KV97" s="131"/>
      <c r="KW97" s="131"/>
      <c r="KX97" s="131"/>
      <c r="KY97" s="131"/>
      <c r="KZ97" s="131"/>
      <c r="LA97" s="131"/>
      <c r="LB97" s="131"/>
      <c r="LC97" s="131"/>
      <c r="LD97" s="131"/>
      <c r="LE97" s="131"/>
      <c r="LF97" s="131"/>
      <c r="LG97" s="131"/>
      <c r="LH97" s="131"/>
      <c r="LI97" s="131"/>
      <c r="LJ97" s="131"/>
      <c r="LK97" s="131"/>
      <c r="LL97" s="131"/>
      <c r="LM97" s="131"/>
      <c r="LN97" s="131"/>
      <c r="LO97" s="131"/>
      <c r="LP97" s="131"/>
      <c r="LQ97" s="131"/>
      <c r="LR97" s="131"/>
      <c r="LS97" s="131"/>
      <c r="LT97" s="131"/>
      <c r="LU97" s="131"/>
      <c r="LV97" s="131"/>
      <c r="LW97" s="131"/>
      <c r="LX97" s="131"/>
      <c r="LY97" s="131"/>
      <c r="LZ97" s="131"/>
      <c r="MA97" s="131"/>
      <c r="MB97" s="131"/>
      <c r="MC97" s="131"/>
      <c r="MD97" s="131"/>
      <c r="ME97" s="131"/>
      <c r="MF97" s="131"/>
      <c r="MG97" s="131"/>
      <c r="MH97" s="131"/>
      <c r="MI97" s="131"/>
      <c r="MJ97" s="131"/>
      <c r="MK97" s="131"/>
      <c r="ML97" s="131"/>
      <c r="MM97" s="131"/>
      <c r="MN97" s="131"/>
      <c r="MO97" s="131"/>
      <c r="MP97" s="131"/>
      <c r="MQ97" s="131"/>
      <c r="MR97" s="131"/>
      <c r="MS97" s="131"/>
      <c r="MT97" s="131"/>
      <c r="MU97" s="131"/>
      <c r="MV97" s="131"/>
      <c r="MW97" s="131"/>
      <c r="MX97" s="131"/>
      <c r="MY97" s="131"/>
      <c r="MZ97" s="131"/>
      <c r="NA97" s="131"/>
      <c r="NB97" s="131"/>
      <c r="NC97" s="131"/>
      <c r="ND97" s="131"/>
      <c r="NE97" s="131"/>
      <c r="NF97" s="131"/>
      <c r="NG97" s="131"/>
      <c r="NH97" s="131"/>
      <c r="NI97" s="131"/>
      <c r="NJ97" s="131"/>
      <c r="NK97" s="131"/>
      <c r="NL97" s="131"/>
      <c r="NM97" s="131"/>
      <c r="NN97" s="131"/>
      <c r="NO97" s="131"/>
      <c r="NP97" s="131"/>
      <c r="NQ97" s="131"/>
      <c r="NR97" s="131"/>
      <c r="NS97" s="131"/>
      <c r="NT97" s="131"/>
      <c r="NU97" s="131"/>
      <c r="NV97" s="131"/>
      <c r="NW97" s="131"/>
      <c r="NX97" s="131"/>
      <c r="NY97" s="131"/>
      <c r="NZ97" s="131"/>
      <c r="OA97" s="131"/>
      <c r="OB97" s="131"/>
      <c r="OC97" s="131"/>
      <c r="OD97" s="131"/>
      <c r="OE97" s="131"/>
      <c r="OF97" s="131"/>
      <c r="OG97" s="131"/>
      <c r="OH97" s="132"/>
    </row>
    <row r="98" spans="1:398" x14ac:dyDescent="0.35">
      <c r="A98" s="102"/>
      <c r="B98" s="168">
        <f t="shared" si="62"/>
        <v>70</v>
      </c>
      <c r="C98" s="171" t="s">
        <v>903</v>
      </c>
      <c r="D98" s="124" t="s">
        <v>752</v>
      </c>
      <c r="E98" s="124" t="s">
        <v>916</v>
      </c>
      <c r="F98" s="125" t="s">
        <v>906</v>
      </c>
      <c r="G98" s="125" t="s">
        <v>741</v>
      </c>
      <c r="H98" s="125"/>
      <c r="I98" s="129">
        <v>0</v>
      </c>
      <c r="J98" s="129">
        <v>0</v>
      </c>
      <c r="K98" s="129">
        <v>0</v>
      </c>
      <c r="L98" s="129">
        <v>0</v>
      </c>
      <c r="M98" s="129">
        <v>0</v>
      </c>
      <c r="N98" s="129">
        <v>0</v>
      </c>
      <c r="O98" s="130">
        <f t="shared" si="64"/>
        <v>0</v>
      </c>
      <c r="P98" s="129">
        <v>0</v>
      </c>
      <c r="Q98" s="129">
        <v>0</v>
      </c>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1"/>
      <c r="BF98" s="131"/>
      <c r="BG98" s="131"/>
      <c r="BH98" s="131"/>
      <c r="BI98" s="131"/>
      <c r="BJ98" s="131"/>
      <c r="BK98" s="131"/>
      <c r="BL98" s="131"/>
      <c r="BM98" s="131"/>
      <c r="BN98" s="131"/>
      <c r="BO98" s="131"/>
      <c r="BP98" s="131"/>
      <c r="BQ98" s="131"/>
      <c r="BR98" s="131"/>
      <c r="BS98" s="131"/>
      <c r="BT98" s="131"/>
      <c r="BU98" s="131"/>
      <c r="BV98" s="131"/>
      <c r="BW98" s="131"/>
      <c r="BX98" s="131"/>
      <c r="BY98" s="131"/>
      <c r="BZ98" s="131"/>
      <c r="CA98" s="131"/>
      <c r="CB98" s="131"/>
      <c r="CC98" s="131"/>
      <c r="CD98" s="131"/>
      <c r="CE98" s="131"/>
      <c r="CF98" s="131"/>
      <c r="CG98" s="131"/>
      <c r="CH98" s="131"/>
      <c r="CI98" s="131"/>
      <c r="CJ98" s="131"/>
      <c r="CK98" s="131"/>
      <c r="CL98" s="131"/>
      <c r="CM98" s="131"/>
      <c r="CN98" s="131"/>
      <c r="CO98" s="131"/>
      <c r="CP98" s="131"/>
      <c r="CQ98" s="131"/>
      <c r="CR98" s="131"/>
      <c r="CS98" s="131"/>
      <c r="CT98" s="131"/>
      <c r="CU98" s="131"/>
      <c r="CV98" s="131"/>
      <c r="CW98" s="131"/>
      <c r="CX98" s="131"/>
      <c r="CY98" s="131"/>
      <c r="CZ98" s="131"/>
      <c r="DA98" s="131"/>
      <c r="DB98" s="131"/>
      <c r="DC98" s="131"/>
      <c r="DD98" s="131"/>
      <c r="DE98" s="131"/>
      <c r="DF98" s="131"/>
      <c r="DG98" s="131"/>
      <c r="DH98" s="131"/>
      <c r="DI98" s="131"/>
      <c r="DJ98" s="131"/>
      <c r="DK98" s="131"/>
      <c r="DL98" s="131"/>
      <c r="DM98" s="131"/>
      <c r="DN98" s="131"/>
      <c r="DO98" s="131"/>
      <c r="DP98" s="131"/>
      <c r="DQ98" s="131"/>
      <c r="DR98" s="131"/>
      <c r="DS98" s="131"/>
      <c r="DT98" s="131"/>
      <c r="DU98" s="131"/>
      <c r="DV98" s="131"/>
      <c r="DW98" s="131"/>
      <c r="DX98" s="131"/>
      <c r="DY98" s="131"/>
      <c r="DZ98" s="131"/>
      <c r="EA98" s="131"/>
      <c r="EB98" s="131"/>
      <c r="EC98" s="131"/>
      <c r="ED98" s="131"/>
      <c r="EE98" s="131"/>
      <c r="EF98" s="131"/>
      <c r="EG98" s="131"/>
      <c r="EH98" s="131"/>
      <c r="EI98" s="131"/>
      <c r="EJ98" s="131"/>
      <c r="EK98" s="131"/>
      <c r="EL98" s="131"/>
      <c r="EM98" s="131"/>
      <c r="EN98" s="131"/>
      <c r="EO98" s="131"/>
      <c r="EP98" s="131"/>
      <c r="EQ98" s="131"/>
      <c r="ER98" s="131"/>
      <c r="ES98" s="131"/>
      <c r="ET98" s="131"/>
      <c r="EU98" s="131"/>
      <c r="EV98" s="131"/>
      <c r="EW98" s="131"/>
      <c r="EX98" s="131"/>
      <c r="EY98" s="131"/>
      <c r="EZ98" s="131"/>
      <c r="FA98" s="131"/>
      <c r="FB98" s="131"/>
      <c r="FC98" s="131"/>
      <c r="FD98" s="131"/>
      <c r="FE98" s="131"/>
      <c r="FF98" s="131"/>
      <c r="FG98" s="131"/>
      <c r="FH98" s="131"/>
      <c r="FI98" s="131"/>
      <c r="FJ98" s="131"/>
      <c r="FK98" s="131"/>
      <c r="FL98" s="131"/>
      <c r="FM98" s="131"/>
      <c r="FN98" s="131"/>
      <c r="FO98" s="131"/>
      <c r="FP98" s="131"/>
      <c r="FQ98" s="131"/>
      <c r="FR98" s="131"/>
      <c r="FS98" s="131"/>
      <c r="FT98" s="131"/>
      <c r="FU98" s="131"/>
      <c r="FV98" s="131"/>
      <c r="FW98" s="131"/>
      <c r="FX98" s="131"/>
      <c r="FY98" s="131"/>
      <c r="FZ98" s="131"/>
      <c r="GA98" s="131"/>
      <c r="GB98" s="131"/>
      <c r="GC98" s="131"/>
      <c r="GD98" s="131"/>
      <c r="GE98" s="131"/>
      <c r="GF98" s="131"/>
      <c r="GG98" s="131"/>
      <c r="GH98" s="131"/>
      <c r="GI98" s="131"/>
      <c r="GJ98" s="131"/>
      <c r="GK98" s="131"/>
      <c r="GL98" s="131"/>
      <c r="GM98" s="131"/>
      <c r="GN98" s="131"/>
      <c r="GO98" s="131"/>
      <c r="GP98" s="131"/>
      <c r="GQ98" s="131"/>
      <c r="GR98" s="131"/>
      <c r="GS98" s="131"/>
      <c r="GT98" s="131"/>
      <c r="GU98" s="131"/>
      <c r="GV98" s="131"/>
      <c r="GW98" s="131"/>
      <c r="GX98" s="131"/>
      <c r="GY98" s="131"/>
      <c r="GZ98" s="131"/>
      <c r="HA98" s="131"/>
      <c r="HB98" s="131"/>
      <c r="HC98" s="131"/>
      <c r="HD98" s="131"/>
      <c r="HE98" s="131"/>
      <c r="HF98" s="131"/>
      <c r="HG98" s="131"/>
      <c r="HH98" s="131"/>
      <c r="HI98" s="131"/>
      <c r="HJ98" s="131"/>
      <c r="HK98" s="131"/>
      <c r="HL98" s="131"/>
      <c r="HM98" s="131"/>
      <c r="HN98" s="131"/>
      <c r="HO98" s="131"/>
      <c r="HP98" s="131"/>
      <c r="HQ98" s="131"/>
      <c r="HR98" s="131"/>
      <c r="HS98" s="131"/>
      <c r="HT98" s="131"/>
      <c r="HU98" s="131"/>
      <c r="HV98" s="131"/>
      <c r="HW98" s="131"/>
      <c r="HX98" s="131"/>
      <c r="HY98" s="131"/>
      <c r="HZ98" s="131"/>
      <c r="IA98" s="131"/>
      <c r="IB98" s="131"/>
      <c r="IC98" s="131"/>
      <c r="ID98" s="131"/>
      <c r="IE98" s="131"/>
      <c r="IF98" s="131"/>
      <c r="IG98" s="131"/>
      <c r="IH98" s="131"/>
      <c r="II98" s="131"/>
      <c r="IJ98" s="131"/>
      <c r="IK98" s="131"/>
      <c r="IL98" s="131"/>
      <c r="IM98" s="131"/>
      <c r="IN98" s="131"/>
      <c r="IO98" s="131"/>
      <c r="IP98" s="131"/>
      <c r="IQ98" s="131"/>
      <c r="IR98" s="131"/>
      <c r="IS98" s="131"/>
      <c r="IT98" s="131"/>
      <c r="IU98" s="131"/>
      <c r="IV98" s="131"/>
      <c r="IW98" s="131"/>
      <c r="IX98" s="131"/>
      <c r="IY98" s="131"/>
      <c r="IZ98" s="131"/>
      <c r="JA98" s="131"/>
      <c r="JB98" s="131"/>
      <c r="JC98" s="131"/>
      <c r="JD98" s="131"/>
      <c r="JE98" s="131"/>
      <c r="JF98" s="131"/>
      <c r="JG98" s="131"/>
      <c r="JH98" s="131"/>
      <c r="JI98" s="131"/>
      <c r="JJ98" s="131"/>
      <c r="JK98" s="131"/>
      <c r="JL98" s="131"/>
      <c r="JM98" s="131"/>
      <c r="JN98" s="131"/>
      <c r="JO98" s="131"/>
      <c r="JP98" s="131"/>
      <c r="JQ98" s="131"/>
      <c r="JR98" s="131"/>
      <c r="JS98" s="131"/>
      <c r="JT98" s="131"/>
      <c r="JU98" s="131"/>
      <c r="JV98" s="131"/>
      <c r="JW98" s="131"/>
      <c r="JX98" s="131"/>
      <c r="JY98" s="131"/>
      <c r="JZ98" s="131"/>
      <c r="KA98" s="131"/>
      <c r="KB98" s="131"/>
      <c r="KC98" s="131"/>
      <c r="KD98" s="131"/>
      <c r="KE98" s="131"/>
      <c r="KF98" s="131"/>
      <c r="KG98" s="131"/>
      <c r="KH98" s="131"/>
      <c r="KI98" s="131"/>
      <c r="KJ98" s="131"/>
      <c r="KK98" s="131"/>
      <c r="KL98" s="131"/>
      <c r="KM98" s="131"/>
      <c r="KN98" s="131"/>
      <c r="KO98" s="131"/>
      <c r="KP98" s="131"/>
      <c r="KQ98" s="131"/>
      <c r="KR98" s="131"/>
      <c r="KS98" s="131"/>
      <c r="KT98" s="131"/>
      <c r="KU98" s="131"/>
      <c r="KV98" s="131"/>
      <c r="KW98" s="131"/>
      <c r="KX98" s="131"/>
      <c r="KY98" s="131"/>
      <c r="KZ98" s="131"/>
      <c r="LA98" s="131"/>
      <c r="LB98" s="131"/>
      <c r="LC98" s="131"/>
      <c r="LD98" s="131"/>
      <c r="LE98" s="131"/>
      <c r="LF98" s="131"/>
      <c r="LG98" s="131"/>
      <c r="LH98" s="131"/>
      <c r="LI98" s="131"/>
      <c r="LJ98" s="131"/>
      <c r="LK98" s="131"/>
      <c r="LL98" s="131"/>
      <c r="LM98" s="131"/>
      <c r="LN98" s="131"/>
      <c r="LO98" s="131"/>
      <c r="LP98" s="131"/>
      <c r="LQ98" s="131"/>
      <c r="LR98" s="131"/>
      <c r="LS98" s="131"/>
      <c r="LT98" s="131"/>
      <c r="LU98" s="131"/>
      <c r="LV98" s="131"/>
      <c r="LW98" s="131"/>
      <c r="LX98" s="131"/>
      <c r="LY98" s="131"/>
      <c r="LZ98" s="131"/>
      <c r="MA98" s="131"/>
      <c r="MB98" s="131"/>
      <c r="MC98" s="131"/>
      <c r="MD98" s="131"/>
      <c r="ME98" s="131"/>
      <c r="MF98" s="131"/>
      <c r="MG98" s="131"/>
      <c r="MH98" s="131"/>
      <c r="MI98" s="131"/>
      <c r="MJ98" s="131"/>
      <c r="MK98" s="131"/>
      <c r="ML98" s="131"/>
      <c r="MM98" s="131"/>
      <c r="MN98" s="131"/>
      <c r="MO98" s="131"/>
      <c r="MP98" s="131"/>
      <c r="MQ98" s="131"/>
      <c r="MR98" s="131"/>
      <c r="MS98" s="131"/>
      <c r="MT98" s="131"/>
      <c r="MU98" s="131"/>
      <c r="MV98" s="131"/>
      <c r="MW98" s="131"/>
      <c r="MX98" s="131"/>
      <c r="MY98" s="131"/>
      <c r="MZ98" s="131"/>
      <c r="NA98" s="131"/>
      <c r="NB98" s="131"/>
      <c r="NC98" s="131"/>
      <c r="ND98" s="131"/>
      <c r="NE98" s="131"/>
      <c r="NF98" s="131"/>
      <c r="NG98" s="131"/>
      <c r="NH98" s="131"/>
      <c r="NI98" s="131"/>
      <c r="NJ98" s="131"/>
      <c r="NK98" s="131"/>
      <c r="NL98" s="131"/>
      <c r="NM98" s="131"/>
      <c r="NN98" s="131"/>
      <c r="NO98" s="131"/>
      <c r="NP98" s="131"/>
      <c r="NQ98" s="131"/>
      <c r="NR98" s="131"/>
      <c r="NS98" s="131"/>
      <c r="NT98" s="131"/>
      <c r="NU98" s="131"/>
      <c r="NV98" s="131"/>
      <c r="NW98" s="131"/>
      <c r="NX98" s="131"/>
      <c r="NY98" s="131"/>
      <c r="NZ98" s="131"/>
      <c r="OA98" s="131"/>
      <c r="OB98" s="131"/>
      <c r="OC98" s="131"/>
      <c r="OD98" s="131"/>
      <c r="OE98" s="131"/>
      <c r="OF98" s="131"/>
      <c r="OG98" s="131"/>
      <c r="OH98" s="132"/>
    </row>
    <row r="99" spans="1:398" x14ac:dyDescent="0.35">
      <c r="A99" s="102"/>
      <c r="B99" s="168">
        <f t="shared" si="62"/>
        <v>71</v>
      </c>
      <c r="C99" s="171" t="s">
        <v>903</v>
      </c>
      <c r="D99" s="124" t="s">
        <v>752</v>
      </c>
      <c r="E99" s="124" t="s">
        <v>916</v>
      </c>
      <c r="F99" s="125" t="s">
        <v>906</v>
      </c>
      <c r="G99" s="125" t="s">
        <v>742</v>
      </c>
      <c r="H99" s="125"/>
      <c r="I99" s="129">
        <v>0</v>
      </c>
      <c r="J99" s="129">
        <v>0</v>
      </c>
      <c r="K99" s="129">
        <v>0</v>
      </c>
      <c r="L99" s="129">
        <v>0</v>
      </c>
      <c r="M99" s="129">
        <v>0</v>
      </c>
      <c r="N99" s="129">
        <v>0</v>
      </c>
      <c r="O99" s="130">
        <f t="shared" si="64"/>
        <v>0</v>
      </c>
      <c r="P99" s="129">
        <v>0</v>
      </c>
      <c r="Q99" s="129">
        <v>0</v>
      </c>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c r="AO99" s="131"/>
      <c r="AP99" s="131"/>
      <c r="AQ99" s="131"/>
      <c r="AR99" s="131"/>
      <c r="AS99" s="131"/>
      <c r="AT99" s="131"/>
      <c r="AU99" s="131"/>
      <c r="AV99" s="131"/>
      <c r="AW99" s="131"/>
      <c r="AX99" s="131"/>
      <c r="AY99" s="131"/>
      <c r="AZ99" s="131"/>
      <c r="BA99" s="131"/>
      <c r="BB99" s="131"/>
      <c r="BC99" s="131"/>
      <c r="BD99" s="131"/>
      <c r="BE99" s="131"/>
      <c r="BF99" s="131"/>
      <c r="BG99" s="131"/>
      <c r="BH99" s="131"/>
      <c r="BI99" s="131"/>
      <c r="BJ99" s="131"/>
      <c r="BK99" s="131"/>
      <c r="BL99" s="131"/>
      <c r="BM99" s="131"/>
      <c r="BN99" s="131"/>
      <c r="BO99" s="131"/>
      <c r="BP99" s="131"/>
      <c r="BQ99" s="131"/>
      <c r="BR99" s="131"/>
      <c r="BS99" s="131"/>
      <c r="BT99" s="131"/>
      <c r="BU99" s="131"/>
      <c r="BV99" s="131"/>
      <c r="BW99" s="131"/>
      <c r="BX99" s="131"/>
      <c r="BY99" s="131"/>
      <c r="BZ99" s="131"/>
      <c r="CA99" s="131"/>
      <c r="CB99" s="131"/>
      <c r="CC99" s="131"/>
      <c r="CD99" s="131"/>
      <c r="CE99" s="131"/>
      <c r="CF99" s="131"/>
      <c r="CG99" s="131"/>
      <c r="CH99" s="131"/>
      <c r="CI99" s="131"/>
      <c r="CJ99" s="131"/>
      <c r="CK99" s="131"/>
      <c r="CL99" s="131"/>
      <c r="CM99" s="131"/>
      <c r="CN99" s="131"/>
      <c r="CO99" s="131"/>
      <c r="CP99" s="131"/>
      <c r="CQ99" s="131"/>
      <c r="CR99" s="131"/>
      <c r="CS99" s="131"/>
      <c r="CT99" s="131"/>
      <c r="CU99" s="131"/>
      <c r="CV99" s="131"/>
      <c r="CW99" s="131"/>
      <c r="CX99" s="131"/>
      <c r="CY99" s="131"/>
      <c r="CZ99" s="131"/>
      <c r="DA99" s="131"/>
      <c r="DB99" s="131"/>
      <c r="DC99" s="131"/>
      <c r="DD99" s="131"/>
      <c r="DE99" s="131"/>
      <c r="DF99" s="131"/>
      <c r="DG99" s="131"/>
      <c r="DH99" s="131"/>
      <c r="DI99" s="131"/>
      <c r="DJ99" s="131"/>
      <c r="DK99" s="131"/>
      <c r="DL99" s="131"/>
      <c r="DM99" s="131"/>
      <c r="DN99" s="131"/>
      <c r="DO99" s="131"/>
      <c r="DP99" s="131"/>
      <c r="DQ99" s="131"/>
      <c r="DR99" s="131"/>
      <c r="DS99" s="131"/>
      <c r="DT99" s="131"/>
      <c r="DU99" s="131"/>
      <c r="DV99" s="131"/>
      <c r="DW99" s="131"/>
      <c r="DX99" s="131"/>
      <c r="DY99" s="131"/>
      <c r="DZ99" s="131"/>
      <c r="EA99" s="131"/>
      <c r="EB99" s="131"/>
      <c r="EC99" s="131"/>
      <c r="ED99" s="131"/>
      <c r="EE99" s="131"/>
      <c r="EF99" s="131"/>
      <c r="EG99" s="131"/>
      <c r="EH99" s="131"/>
      <c r="EI99" s="131"/>
      <c r="EJ99" s="131"/>
      <c r="EK99" s="131"/>
      <c r="EL99" s="131"/>
      <c r="EM99" s="131"/>
      <c r="EN99" s="131"/>
      <c r="EO99" s="131"/>
      <c r="EP99" s="131"/>
      <c r="EQ99" s="131"/>
      <c r="ER99" s="131"/>
      <c r="ES99" s="131"/>
      <c r="ET99" s="131"/>
      <c r="EU99" s="131"/>
      <c r="EV99" s="131"/>
      <c r="EW99" s="131"/>
      <c r="EX99" s="131"/>
      <c r="EY99" s="131"/>
      <c r="EZ99" s="131"/>
      <c r="FA99" s="131"/>
      <c r="FB99" s="131"/>
      <c r="FC99" s="131"/>
      <c r="FD99" s="131"/>
      <c r="FE99" s="131"/>
      <c r="FF99" s="131"/>
      <c r="FG99" s="131"/>
      <c r="FH99" s="131"/>
      <c r="FI99" s="131"/>
      <c r="FJ99" s="131"/>
      <c r="FK99" s="131"/>
      <c r="FL99" s="131"/>
      <c r="FM99" s="131"/>
      <c r="FN99" s="131"/>
      <c r="FO99" s="131"/>
      <c r="FP99" s="131"/>
      <c r="FQ99" s="131"/>
      <c r="FR99" s="131"/>
      <c r="FS99" s="131"/>
      <c r="FT99" s="131"/>
      <c r="FU99" s="131"/>
      <c r="FV99" s="131"/>
      <c r="FW99" s="131"/>
      <c r="FX99" s="131"/>
      <c r="FY99" s="131"/>
      <c r="FZ99" s="131"/>
      <c r="GA99" s="131"/>
      <c r="GB99" s="131"/>
      <c r="GC99" s="131"/>
      <c r="GD99" s="131"/>
      <c r="GE99" s="131"/>
      <c r="GF99" s="131"/>
      <c r="GG99" s="131"/>
      <c r="GH99" s="131"/>
      <c r="GI99" s="131"/>
      <c r="GJ99" s="131"/>
      <c r="GK99" s="131"/>
      <c r="GL99" s="131"/>
      <c r="GM99" s="131"/>
      <c r="GN99" s="131"/>
      <c r="GO99" s="131"/>
      <c r="GP99" s="131"/>
      <c r="GQ99" s="131"/>
      <c r="GR99" s="131"/>
      <c r="GS99" s="131"/>
      <c r="GT99" s="131"/>
      <c r="GU99" s="131"/>
      <c r="GV99" s="131"/>
      <c r="GW99" s="131"/>
      <c r="GX99" s="131"/>
      <c r="GY99" s="131"/>
      <c r="GZ99" s="131"/>
      <c r="HA99" s="131"/>
      <c r="HB99" s="131"/>
      <c r="HC99" s="131"/>
      <c r="HD99" s="131"/>
      <c r="HE99" s="131"/>
      <c r="HF99" s="131"/>
      <c r="HG99" s="131"/>
      <c r="HH99" s="131"/>
      <c r="HI99" s="131"/>
      <c r="HJ99" s="131"/>
      <c r="HK99" s="131"/>
      <c r="HL99" s="131"/>
      <c r="HM99" s="131"/>
      <c r="HN99" s="131"/>
      <c r="HO99" s="131"/>
      <c r="HP99" s="131"/>
      <c r="HQ99" s="131"/>
      <c r="HR99" s="131"/>
      <c r="HS99" s="131"/>
      <c r="HT99" s="131"/>
      <c r="HU99" s="131"/>
      <c r="HV99" s="131"/>
      <c r="HW99" s="131"/>
      <c r="HX99" s="131"/>
      <c r="HY99" s="131"/>
      <c r="HZ99" s="131"/>
      <c r="IA99" s="131"/>
      <c r="IB99" s="131"/>
      <c r="IC99" s="131"/>
      <c r="ID99" s="131"/>
      <c r="IE99" s="131"/>
      <c r="IF99" s="131"/>
      <c r="IG99" s="131"/>
      <c r="IH99" s="131"/>
      <c r="II99" s="131"/>
      <c r="IJ99" s="131"/>
      <c r="IK99" s="131"/>
      <c r="IL99" s="131"/>
      <c r="IM99" s="131"/>
      <c r="IN99" s="131"/>
      <c r="IO99" s="131"/>
      <c r="IP99" s="131"/>
      <c r="IQ99" s="131"/>
      <c r="IR99" s="131"/>
      <c r="IS99" s="131"/>
      <c r="IT99" s="131"/>
      <c r="IU99" s="131"/>
      <c r="IV99" s="131"/>
      <c r="IW99" s="131"/>
      <c r="IX99" s="131"/>
      <c r="IY99" s="131"/>
      <c r="IZ99" s="131"/>
      <c r="JA99" s="131"/>
      <c r="JB99" s="131"/>
      <c r="JC99" s="131"/>
      <c r="JD99" s="131"/>
      <c r="JE99" s="131"/>
      <c r="JF99" s="131"/>
      <c r="JG99" s="131"/>
      <c r="JH99" s="131"/>
      <c r="JI99" s="131"/>
      <c r="JJ99" s="131"/>
      <c r="JK99" s="131"/>
      <c r="JL99" s="131"/>
      <c r="JM99" s="131"/>
      <c r="JN99" s="131"/>
      <c r="JO99" s="131"/>
      <c r="JP99" s="131"/>
      <c r="JQ99" s="131"/>
      <c r="JR99" s="131"/>
      <c r="JS99" s="131"/>
      <c r="JT99" s="131"/>
      <c r="JU99" s="131"/>
      <c r="JV99" s="131"/>
      <c r="JW99" s="131"/>
      <c r="JX99" s="131"/>
      <c r="JY99" s="131"/>
      <c r="JZ99" s="131"/>
      <c r="KA99" s="131"/>
      <c r="KB99" s="131"/>
      <c r="KC99" s="131"/>
      <c r="KD99" s="131"/>
      <c r="KE99" s="131"/>
      <c r="KF99" s="131"/>
      <c r="KG99" s="131"/>
      <c r="KH99" s="131"/>
      <c r="KI99" s="131"/>
      <c r="KJ99" s="131"/>
      <c r="KK99" s="131"/>
      <c r="KL99" s="131"/>
      <c r="KM99" s="131"/>
      <c r="KN99" s="131"/>
      <c r="KO99" s="131"/>
      <c r="KP99" s="131"/>
      <c r="KQ99" s="131"/>
      <c r="KR99" s="131"/>
      <c r="KS99" s="131"/>
      <c r="KT99" s="131"/>
      <c r="KU99" s="131"/>
      <c r="KV99" s="131"/>
      <c r="KW99" s="131"/>
      <c r="KX99" s="131"/>
      <c r="KY99" s="131"/>
      <c r="KZ99" s="131"/>
      <c r="LA99" s="131"/>
      <c r="LB99" s="131"/>
      <c r="LC99" s="131"/>
      <c r="LD99" s="131"/>
      <c r="LE99" s="131"/>
      <c r="LF99" s="131"/>
      <c r="LG99" s="131"/>
      <c r="LH99" s="131"/>
      <c r="LI99" s="131"/>
      <c r="LJ99" s="131"/>
      <c r="LK99" s="131"/>
      <c r="LL99" s="131"/>
      <c r="LM99" s="131"/>
      <c r="LN99" s="131"/>
      <c r="LO99" s="131"/>
      <c r="LP99" s="131"/>
      <c r="LQ99" s="131"/>
      <c r="LR99" s="131"/>
      <c r="LS99" s="131"/>
      <c r="LT99" s="131"/>
      <c r="LU99" s="131"/>
      <c r="LV99" s="131"/>
      <c r="LW99" s="131"/>
      <c r="LX99" s="131"/>
      <c r="LY99" s="131"/>
      <c r="LZ99" s="131"/>
      <c r="MA99" s="131"/>
      <c r="MB99" s="131"/>
      <c r="MC99" s="131"/>
      <c r="MD99" s="131"/>
      <c r="ME99" s="131"/>
      <c r="MF99" s="131"/>
      <c r="MG99" s="131"/>
      <c r="MH99" s="131"/>
      <c r="MI99" s="131"/>
      <c r="MJ99" s="131"/>
      <c r="MK99" s="131"/>
      <c r="ML99" s="131"/>
      <c r="MM99" s="131"/>
      <c r="MN99" s="131"/>
      <c r="MO99" s="131"/>
      <c r="MP99" s="131"/>
      <c r="MQ99" s="131"/>
      <c r="MR99" s="131"/>
      <c r="MS99" s="131"/>
      <c r="MT99" s="131"/>
      <c r="MU99" s="131"/>
      <c r="MV99" s="131"/>
      <c r="MW99" s="131"/>
      <c r="MX99" s="131"/>
      <c r="MY99" s="131"/>
      <c r="MZ99" s="131"/>
      <c r="NA99" s="131"/>
      <c r="NB99" s="131"/>
      <c r="NC99" s="131"/>
      <c r="ND99" s="131"/>
      <c r="NE99" s="131"/>
      <c r="NF99" s="131"/>
      <c r="NG99" s="131"/>
      <c r="NH99" s="131"/>
      <c r="NI99" s="131"/>
      <c r="NJ99" s="131"/>
      <c r="NK99" s="131"/>
      <c r="NL99" s="131"/>
      <c r="NM99" s="131"/>
      <c r="NN99" s="131"/>
      <c r="NO99" s="131"/>
      <c r="NP99" s="131"/>
      <c r="NQ99" s="131"/>
      <c r="NR99" s="131"/>
      <c r="NS99" s="131"/>
      <c r="NT99" s="131"/>
      <c r="NU99" s="131"/>
      <c r="NV99" s="131"/>
      <c r="NW99" s="131"/>
      <c r="NX99" s="131"/>
      <c r="NY99" s="131"/>
      <c r="NZ99" s="131"/>
      <c r="OA99" s="131"/>
      <c r="OB99" s="131"/>
      <c r="OC99" s="131"/>
      <c r="OD99" s="131"/>
      <c r="OE99" s="131"/>
      <c r="OF99" s="131"/>
      <c r="OG99" s="131"/>
      <c r="OH99" s="132"/>
    </row>
    <row r="100" spans="1:398" x14ac:dyDescent="0.35">
      <c r="A100" s="102"/>
      <c r="B100" s="168">
        <f t="shared" si="62"/>
        <v>72</v>
      </c>
      <c r="C100" s="171" t="s">
        <v>903</v>
      </c>
      <c r="D100" s="124" t="s">
        <v>752</v>
      </c>
      <c r="E100" s="124" t="s">
        <v>916</v>
      </c>
      <c r="F100" s="125" t="s">
        <v>906</v>
      </c>
      <c r="G100" s="125" t="s">
        <v>743</v>
      </c>
      <c r="H100" s="125"/>
      <c r="I100" s="129">
        <v>0</v>
      </c>
      <c r="J100" s="129">
        <v>0</v>
      </c>
      <c r="K100" s="129">
        <v>0</v>
      </c>
      <c r="L100" s="129">
        <v>0</v>
      </c>
      <c r="M100" s="129">
        <v>0</v>
      </c>
      <c r="N100" s="129">
        <v>0</v>
      </c>
      <c r="O100" s="130">
        <f t="shared" si="64"/>
        <v>0</v>
      </c>
      <c r="P100" s="129">
        <v>0</v>
      </c>
      <c r="Q100" s="129">
        <v>0</v>
      </c>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c r="BM100" s="131"/>
      <c r="BN100" s="131"/>
      <c r="BO100" s="131"/>
      <c r="BP100" s="131"/>
      <c r="BQ100" s="131"/>
      <c r="BR100" s="131"/>
      <c r="BS100" s="131"/>
      <c r="BT100" s="131"/>
      <c r="BU100" s="131"/>
      <c r="BV100" s="131"/>
      <c r="BW100" s="131"/>
      <c r="BX100" s="131"/>
      <c r="BY100" s="131"/>
      <c r="BZ100" s="131"/>
      <c r="CA100" s="131"/>
      <c r="CB100" s="131"/>
      <c r="CC100" s="131"/>
      <c r="CD100" s="131"/>
      <c r="CE100" s="131"/>
      <c r="CF100" s="131"/>
      <c r="CG100" s="131"/>
      <c r="CH100" s="131"/>
      <c r="CI100" s="131"/>
      <c r="CJ100" s="131"/>
      <c r="CK100" s="131"/>
      <c r="CL100" s="131"/>
      <c r="CM100" s="131"/>
      <c r="CN100" s="131"/>
      <c r="CO100" s="131"/>
      <c r="CP100" s="131"/>
      <c r="CQ100" s="131"/>
      <c r="CR100" s="131"/>
      <c r="CS100" s="131"/>
      <c r="CT100" s="131"/>
      <c r="CU100" s="131"/>
      <c r="CV100" s="131"/>
      <c r="CW100" s="131"/>
      <c r="CX100" s="131"/>
      <c r="CY100" s="131"/>
      <c r="CZ100" s="131"/>
      <c r="DA100" s="131"/>
      <c r="DB100" s="131"/>
      <c r="DC100" s="131"/>
      <c r="DD100" s="131"/>
      <c r="DE100" s="131"/>
      <c r="DF100" s="131"/>
      <c r="DG100" s="131"/>
      <c r="DH100" s="131"/>
      <c r="DI100" s="131"/>
      <c r="DJ100" s="131"/>
      <c r="DK100" s="131"/>
      <c r="DL100" s="131"/>
      <c r="DM100" s="131"/>
      <c r="DN100" s="131"/>
      <c r="DO100" s="131"/>
      <c r="DP100" s="131"/>
      <c r="DQ100" s="131"/>
      <c r="DR100" s="131"/>
      <c r="DS100" s="131"/>
      <c r="DT100" s="131"/>
      <c r="DU100" s="131"/>
      <c r="DV100" s="131"/>
      <c r="DW100" s="131"/>
      <c r="DX100" s="131"/>
      <c r="DY100" s="131"/>
      <c r="DZ100" s="131"/>
      <c r="EA100" s="131"/>
      <c r="EB100" s="131"/>
      <c r="EC100" s="131"/>
      <c r="ED100" s="131"/>
      <c r="EE100" s="131"/>
      <c r="EF100" s="131"/>
      <c r="EG100" s="131"/>
      <c r="EH100" s="131"/>
      <c r="EI100" s="131"/>
      <c r="EJ100" s="131"/>
      <c r="EK100" s="131"/>
      <c r="EL100" s="131"/>
      <c r="EM100" s="131"/>
      <c r="EN100" s="131"/>
      <c r="EO100" s="131"/>
      <c r="EP100" s="131"/>
      <c r="EQ100" s="131"/>
      <c r="ER100" s="131"/>
      <c r="ES100" s="131"/>
      <c r="ET100" s="131"/>
      <c r="EU100" s="131"/>
      <c r="EV100" s="131"/>
      <c r="EW100" s="131"/>
      <c r="EX100" s="131"/>
      <c r="EY100" s="131"/>
      <c r="EZ100" s="131"/>
      <c r="FA100" s="131"/>
      <c r="FB100" s="131"/>
      <c r="FC100" s="131"/>
      <c r="FD100" s="131"/>
      <c r="FE100" s="131"/>
      <c r="FF100" s="131"/>
      <c r="FG100" s="131"/>
      <c r="FH100" s="131"/>
      <c r="FI100" s="131"/>
      <c r="FJ100" s="131"/>
      <c r="FK100" s="131"/>
      <c r="FL100" s="131"/>
      <c r="FM100" s="131"/>
      <c r="FN100" s="131"/>
      <c r="FO100" s="131"/>
      <c r="FP100" s="131"/>
      <c r="FQ100" s="131"/>
      <c r="FR100" s="131"/>
      <c r="FS100" s="131"/>
      <c r="FT100" s="131"/>
      <c r="FU100" s="131"/>
      <c r="FV100" s="131"/>
      <c r="FW100" s="131"/>
      <c r="FX100" s="131"/>
      <c r="FY100" s="131"/>
      <c r="FZ100" s="131"/>
      <c r="GA100" s="131"/>
      <c r="GB100" s="131"/>
      <c r="GC100" s="131"/>
      <c r="GD100" s="131"/>
      <c r="GE100" s="131"/>
      <c r="GF100" s="131"/>
      <c r="GG100" s="131"/>
      <c r="GH100" s="131"/>
      <c r="GI100" s="131"/>
      <c r="GJ100" s="131"/>
      <c r="GK100" s="131"/>
      <c r="GL100" s="131"/>
      <c r="GM100" s="131"/>
      <c r="GN100" s="131"/>
      <c r="GO100" s="131"/>
      <c r="GP100" s="131"/>
      <c r="GQ100" s="131"/>
      <c r="GR100" s="131"/>
      <c r="GS100" s="131"/>
      <c r="GT100" s="131"/>
      <c r="GU100" s="131"/>
      <c r="GV100" s="131"/>
      <c r="GW100" s="131"/>
      <c r="GX100" s="131"/>
      <c r="GY100" s="131"/>
      <c r="GZ100" s="131"/>
      <c r="HA100" s="131"/>
      <c r="HB100" s="131"/>
      <c r="HC100" s="131"/>
      <c r="HD100" s="131"/>
      <c r="HE100" s="131"/>
      <c r="HF100" s="131"/>
      <c r="HG100" s="131"/>
      <c r="HH100" s="131"/>
      <c r="HI100" s="131"/>
      <c r="HJ100" s="131"/>
      <c r="HK100" s="131"/>
      <c r="HL100" s="131"/>
      <c r="HM100" s="131"/>
      <c r="HN100" s="131"/>
      <c r="HO100" s="131"/>
      <c r="HP100" s="131"/>
      <c r="HQ100" s="131"/>
      <c r="HR100" s="131"/>
      <c r="HS100" s="131"/>
      <c r="HT100" s="131"/>
      <c r="HU100" s="131"/>
      <c r="HV100" s="131"/>
      <c r="HW100" s="131"/>
      <c r="HX100" s="131"/>
      <c r="HY100" s="131"/>
      <c r="HZ100" s="131"/>
      <c r="IA100" s="131"/>
      <c r="IB100" s="131"/>
      <c r="IC100" s="131"/>
      <c r="ID100" s="131"/>
      <c r="IE100" s="131"/>
      <c r="IF100" s="131"/>
      <c r="IG100" s="131"/>
      <c r="IH100" s="131"/>
      <c r="II100" s="131"/>
      <c r="IJ100" s="131"/>
      <c r="IK100" s="131"/>
      <c r="IL100" s="131"/>
      <c r="IM100" s="131"/>
      <c r="IN100" s="131"/>
      <c r="IO100" s="131"/>
      <c r="IP100" s="131"/>
      <c r="IQ100" s="131"/>
      <c r="IR100" s="131"/>
      <c r="IS100" s="131"/>
      <c r="IT100" s="131"/>
      <c r="IU100" s="131"/>
      <c r="IV100" s="131"/>
      <c r="IW100" s="131"/>
      <c r="IX100" s="131"/>
      <c r="IY100" s="131"/>
      <c r="IZ100" s="131"/>
      <c r="JA100" s="131"/>
      <c r="JB100" s="131"/>
      <c r="JC100" s="131"/>
      <c r="JD100" s="131"/>
      <c r="JE100" s="131"/>
      <c r="JF100" s="131"/>
      <c r="JG100" s="131"/>
      <c r="JH100" s="131"/>
      <c r="JI100" s="131"/>
      <c r="JJ100" s="131"/>
      <c r="JK100" s="131"/>
      <c r="JL100" s="131"/>
      <c r="JM100" s="131"/>
      <c r="JN100" s="131"/>
      <c r="JO100" s="131"/>
      <c r="JP100" s="131"/>
      <c r="JQ100" s="131"/>
      <c r="JR100" s="131"/>
      <c r="JS100" s="131"/>
      <c r="JT100" s="131"/>
      <c r="JU100" s="131"/>
      <c r="JV100" s="131"/>
      <c r="JW100" s="131"/>
      <c r="JX100" s="131"/>
      <c r="JY100" s="131"/>
      <c r="JZ100" s="131"/>
      <c r="KA100" s="131"/>
      <c r="KB100" s="131"/>
      <c r="KC100" s="131"/>
      <c r="KD100" s="131"/>
      <c r="KE100" s="131"/>
      <c r="KF100" s="131"/>
      <c r="KG100" s="131"/>
      <c r="KH100" s="131"/>
      <c r="KI100" s="131"/>
      <c r="KJ100" s="131"/>
      <c r="KK100" s="131"/>
      <c r="KL100" s="131"/>
      <c r="KM100" s="131"/>
      <c r="KN100" s="131"/>
      <c r="KO100" s="131"/>
      <c r="KP100" s="131"/>
      <c r="KQ100" s="131"/>
      <c r="KR100" s="131"/>
      <c r="KS100" s="131"/>
      <c r="KT100" s="131"/>
      <c r="KU100" s="131"/>
      <c r="KV100" s="131"/>
      <c r="KW100" s="131"/>
      <c r="KX100" s="131"/>
      <c r="KY100" s="131"/>
      <c r="KZ100" s="131"/>
      <c r="LA100" s="131"/>
      <c r="LB100" s="131"/>
      <c r="LC100" s="131"/>
      <c r="LD100" s="131"/>
      <c r="LE100" s="131"/>
      <c r="LF100" s="131"/>
      <c r="LG100" s="131"/>
      <c r="LH100" s="131"/>
      <c r="LI100" s="131"/>
      <c r="LJ100" s="131"/>
      <c r="LK100" s="131"/>
      <c r="LL100" s="131"/>
      <c r="LM100" s="131"/>
      <c r="LN100" s="131"/>
      <c r="LO100" s="131"/>
      <c r="LP100" s="131"/>
      <c r="LQ100" s="131"/>
      <c r="LR100" s="131"/>
      <c r="LS100" s="131"/>
      <c r="LT100" s="131"/>
      <c r="LU100" s="131"/>
      <c r="LV100" s="131"/>
      <c r="LW100" s="131"/>
      <c r="LX100" s="131"/>
      <c r="LY100" s="131"/>
      <c r="LZ100" s="131"/>
      <c r="MA100" s="131"/>
      <c r="MB100" s="131"/>
      <c r="MC100" s="131"/>
      <c r="MD100" s="131"/>
      <c r="ME100" s="131"/>
      <c r="MF100" s="131"/>
      <c r="MG100" s="131"/>
      <c r="MH100" s="131"/>
      <c r="MI100" s="131"/>
      <c r="MJ100" s="131"/>
      <c r="MK100" s="131"/>
      <c r="ML100" s="131"/>
      <c r="MM100" s="131"/>
      <c r="MN100" s="131"/>
      <c r="MO100" s="131"/>
      <c r="MP100" s="131"/>
      <c r="MQ100" s="131"/>
      <c r="MR100" s="131"/>
      <c r="MS100" s="131"/>
      <c r="MT100" s="131"/>
      <c r="MU100" s="131"/>
      <c r="MV100" s="131"/>
      <c r="MW100" s="131"/>
      <c r="MX100" s="131"/>
      <c r="MY100" s="131"/>
      <c r="MZ100" s="131"/>
      <c r="NA100" s="131"/>
      <c r="NB100" s="131"/>
      <c r="NC100" s="131"/>
      <c r="ND100" s="131"/>
      <c r="NE100" s="131"/>
      <c r="NF100" s="131"/>
      <c r="NG100" s="131"/>
      <c r="NH100" s="131"/>
      <c r="NI100" s="131"/>
      <c r="NJ100" s="131"/>
      <c r="NK100" s="131"/>
      <c r="NL100" s="131"/>
      <c r="NM100" s="131"/>
      <c r="NN100" s="131"/>
      <c r="NO100" s="131"/>
      <c r="NP100" s="131"/>
      <c r="NQ100" s="131"/>
      <c r="NR100" s="131"/>
      <c r="NS100" s="131"/>
      <c r="NT100" s="131"/>
      <c r="NU100" s="131"/>
      <c r="NV100" s="131"/>
      <c r="NW100" s="131"/>
      <c r="NX100" s="131"/>
      <c r="NY100" s="131"/>
      <c r="NZ100" s="131"/>
      <c r="OA100" s="131"/>
      <c r="OB100" s="131"/>
      <c r="OC100" s="131"/>
      <c r="OD100" s="131"/>
      <c r="OE100" s="131"/>
      <c r="OF100" s="131"/>
      <c r="OG100" s="131"/>
      <c r="OH100" s="132"/>
    </row>
    <row r="101" spans="1:398" x14ac:dyDescent="0.35">
      <c r="A101" s="102"/>
      <c r="B101" s="168">
        <f t="shared" si="62"/>
        <v>73</v>
      </c>
      <c r="C101" s="171" t="s">
        <v>903</v>
      </c>
      <c r="D101" s="124" t="s">
        <v>752</v>
      </c>
      <c r="E101" s="124" t="s">
        <v>916</v>
      </c>
      <c r="F101" s="125" t="s">
        <v>906</v>
      </c>
      <c r="G101" s="125" t="s">
        <v>202</v>
      </c>
      <c r="H101" s="125"/>
      <c r="I101" s="129">
        <v>0</v>
      </c>
      <c r="J101" s="129">
        <v>0</v>
      </c>
      <c r="K101" s="129">
        <v>0</v>
      </c>
      <c r="L101" s="129">
        <v>0</v>
      </c>
      <c r="M101" s="129">
        <v>0</v>
      </c>
      <c r="N101" s="129">
        <v>0</v>
      </c>
      <c r="O101" s="130">
        <f t="shared" si="64"/>
        <v>0</v>
      </c>
      <c r="P101" s="129">
        <v>0</v>
      </c>
      <c r="Q101" s="129">
        <v>0</v>
      </c>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c r="BM101" s="131"/>
      <c r="BN101" s="131"/>
      <c r="BO101" s="131"/>
      <c r="BP101" s="131"/>
      <c r="BQ101" s="131"/>
      <c r="BR101" s="131"/>
      <c r="BS101" s="131"/>
      <c r="BT101" s="131"/>
      <c r="BU101" s="131"/>
      <c r="BV101" s="131"/>
      <c r="BW101" s="131"/>
      <c r="BX101" s="131"/>
      <c r="BY101" s="131"/>
      <c r="BZ101" s="131"/>
      <c r="CA101" s="131"/>
      <c r="CB101" s="131"/>
      <c r="CC101" s="131"/>
      <c r="CD101" s="131"/>
      <c r="CE101" s="131"/>
      <c r="CF101" s="131"/>
      <c r="CG101" s="131"/>
      <c r="CH101" s="131"/>
      <c r="CI101" s="131"/>
      <c r="CJ101" s="131"/>
      <c r="CK101" s="131"/>
      <c r="CL101" s="131"/>
      <c r="CM101" s="131"/>
      <c r="CN101" s="131"/>
      <c r="CO101" s="131"/>
      <c r="CP101" s="131"/>
      <c r="CQ101" s="131"/>
      <c r="CR101" s="131"/>
      <c r="CS101" s="131"/>
      <c r="CT101" s="131"/>
      <c r="CU101" s="131"/>
      <c r="CV101" s="131"/>
      <c r="CW101" s="131"/>
      <c r="CX101" s="131"/>
      <c r="CY101" s="131"/>
      <c r="CZ101" s="131"/>
      <c r="DA101" s="131"/>
      <c r="DB101" s="131"/>
      <c r="DC101" s="131"/>
      <c r="DD101" s="131"/>
      <c r="DE101" s="131"/>
      <c r="DF101" s="131"/>
      <c r="DG101" s="131"/>
      <c r="DH101" s="131"/>
      <c r="DI101" s="131"/>
      <c r="DJ101" s="131"/>
      <c r="DK101" s="131"/>
      <c r="DL101" s="131"/>
      <c r="DM101" s="131"/>
      <c r="DN101" s="131"/>
      <c r="DO101" s="131"/>
      <c r="DP101" s="131"/>
      <c r="DQ101" s="131"/>
      <c r="DR101" s="131"/>
      <c r="DS101" s="131"/>
      <c r="DT101" s="131"/>
      <c r="DU101" s="131"/>
      <c r="DV101" s="131"/>
      <c r="DW101" s="131"/>
      <c r="DX101" s="131"/>
      <c r="DY101" s="131"/>
      <c r="DZ101" s="131"/>
      <c r="EA101" s="131"/>
      <c r="EB101" s="131"/>
      <c r="EC101" s="131"/>
      <c r="ED101" s="131"/>
      <c r="EE101" s="131"/>
      <c r="EF101" s="131"/>
      <c r="EG101" s="131"/>
      <c r="EH101" s="131"/>
      <c r="EI101" s="131"/>
      <c r="EJ101" s="131"/>
      <c r="EK101" s="131"/>
      <c r="EL101" s="131"/>
      <c r="EM101" s="131"/>
      <c r="EN101" s="131"/>
      <c r="EO101" s="131"/>
      <c r="EP101" s="131"/>
      <c r="EQ101" s="131"/>
      <c r="ER101" s="131"/>
      <c r="ES101" s="131"/>
      <c r="ET101" s="131"/>
      <c r="EU101" s="131"/>
      <c r="EV101" s="131"/>
      <c r="EW101" s="131"/>
      <c r="EX101" s="131"/>
      <c r="EY101" s="131"/>
      <c r="EZ101" s="131"/>
      <c r="FA101" s="131"/>
      <c r="FB101" s="131"/>
      <c r="FC101" s="131"/>
      <c r="FD101" s="131"/>
      <c r="FE101" s="131"/>
      <c r="FF101" s="131"/>
      <c r="FG101" s="131"/>
      <c r="FH101" s="131"/>
      <c r="FI101" s="131"/>
      <c r="FJ101" s="131"/>
      <c r="FK101" s="131"/>
      <c r="FL101" s="131"/>
      <c r="FM101" s="131"/>
      <c r="FN101" s="131"/>
      <c r="FO101" s="131"/>
      <c r="FP101" s="131"/>
      <c r="FQ101" s="131"/>
      <c r="FR101" s="131"/>
      <c r="FS101" s="131"/>
      <c r="FT101" s="131"/>
      <c r="FU101" s="131"/>
      <c r="FV101" s="131"/>
      <c r="FW101" s="131"/>
      <c r="FX101" s="131"/>
      <c r="FY101" s="131"/>
      <c r="FZ101" s="131"/>
      <c r="GA101" s="131"/>
      <c r="GB101" s="131"/>
      <c r="GC101" s="131"/>
      <c r="GD101" s="131"/>
      <c r="GE101" s="131"/>
      <c r="GF101" s="131"/>
      <c r="GG101" s="131"/>
      <c r="GH101" s="131"/>
      <c r="GI101" s="131"/>
      <c r="GJ101" s="131"/>
      <c r="GK101" s="131"/>
      <c r="GL101" s="131"/>
      <c r="GM101" s="131"/>
      <c r="GN101" s="131"/>
      <c r="GO101" s="131"/>
      <c r="GP101" s="131"/>
      <c r="GQ101" s="131"/>
      <c r="GR101" s="131"/>
      <c r="GS101" s="131"/>
      <c r="GT101" s="131"/>
      <c r="GU101" s="131"/>
      <c r="GV101" s="131"/>
      <c r="GW101" s="131"/>
      <c r="GX101" s="131"/>
      <c r="GY101" s="131"/>
      <c r="GZ101" s="131"/>
      <c r="HA101" s="131"/>
      <c r="HB101" s="131"/>
      <c r="HC101" s="131"/>
      <c r="HD101" s="131"/>
      <c r="HE101" s="131"/>
      <c r="HF101" s="131"/>
      <c r="HG101" s="131"/>
      <c r="HH101" s="131"/>
      <c r="HI101" s="131"/>
      <c r="HJ101" s="131"/>
      <c r="HK101" s="131"/>
      <c r="HL101" s="131"/>
      <c r="HM101" s="131"/>
      <c r="HN101" s="131"/>
      <c r="HO101" s="131"/>
      <c r="HP101" s="131"/>
      <c r="HQ101" s="131"/>
      <c r="HR101" s="131"/>
      <c r="HS101" s="131"/>
      <c r="HT101" s="131"/>
      <c r="HU101" s="131"/>
      <c r="HV101" s="131"/>
      <c r="HW101" s="131"/>
      <c r="HX101" s="131"/>
      <c r="HY101" s="131"/>
      <c r="HZ101" s="131"/>
      <c r="IA101" s="131"/>
      <c r="IB101" s="131"/>
      <c r="IC101" s="131"/>
      <c r="ID101" s="131"/>
      <c r="IE101" s="131"/>
      <c r="IF101" s="131"/>
      <c r="IG101" s="131"/>
      <c r="IH101" s="131"/>
      <c r="II101" s="131"/>
      <c r="IJ101" s="131"/>
      <c r="IK101" s="131"/>
      <c r="IL101" s="131"/>
      <c r="IM101" s="131"/>
      <c r="IN101" s="131"/>
      <c r="IO101" s="131"/>
      <c r="IP101" s="131"/>
      <c r="IQ101" s="131"/>
      <c r="IR101" s="131"/>
      <c r="IS101" s="131"/>
      <c r="IT101" s="131"/>
      <c r="IU101" s="131"/>
      <c r="IV101" s="131"/>
      <c r="IW101" s="131"/>
      <c r="IX101" s="131"/>
      <c r="IY101" s="131"/>
      <c r="IZ101" s="131"/>
      <c r="JA101" s="131"/>
      <c r="JB101" s="131"/>
      <c r="JC101" s="131"/>
      <c r="JD101" s="131"/>
      <c r="JE101" s="131"/>
      <c r="JF101" s="131"/>
      <c r="JG101" s="131"/>
      <c r="JH101" s="131"/>
      <c r="JI101" s="131"/>
      <c r="JJ101" s="131"/>
      <c r="JK101" s="131"/>
      <c r="JL101" s="131"/>
      <c r="JM101" s="131"/>
      <c r="JN101" s="131"/>
      <c r="JO101" s="131"/>
      <c r="JP101" s="131"/>
      <c r="JQ101" s="131"/>
      <c r="JR101" s="131"/>
      <c r="JS101" s="131"/>
      <c r="JT101" s="131"/>
      <c r="JU101" s="131"/>
      <c r="JV101" s="131"/>
      <c r="JW101" s="131"/>
      <c r="JX101" s="131"/>
      <c r="JY101" s="131"/>
      <c r="JZ101" s="131"/>
      <c r="KA101" s="131"/>
      <c r="KB101" s="131"/>
      <c r="KC101" s="131"/>
      <c r="KD101" s="131"/>
      <c r="KE101" s="131"/>
      <c r="KF101" s="131"/>
      <c r="KG101" s="131"/>
      <c r="KH101" s="131"/>
      <c r="KI101" s="131"/>
      <c r="KJ101" s="131"/>
      <c r="KK101" s="131"/>
      <c r="KL101" s="131"/>
      <c r="KM101" s="131"/>
      <c r="KN101" s="131"/>
      <c r="KO101" s="131"/>
      <c r="KP101" s="131"/>
      <c r="KQ101" s="131"/>
      <c r="KR101" s="131"/>
      <c r="KS101" s="131"/>
      <c r="KT101" s="131"/>
      <c r="KU101" s="131"/>
      <c r="KV101" s="131"/>
      <c r="KW101" s="131"/>
      <c r="KX101" s="131"/>
      <c r="KY101" s="131"/>
      <c r="KZ101" s="131"/>
      <c r="LA101" s="131"/>
      <c r="LB101" s="131"/>
      <c r="LC101" s="131"/>
      <c r="LD101" s="131"/>
      <c r="LE101" s="131"/>
      <c r="LF101" s="131"/>
      <c r="LG101" s="131"/>
      <c r="LH101" s="131"/>
      <c r="LI101" s="131"/>
      <c r="LJ101" s="131"/>
      <c r="LK101" s="131"/>
      <c r="LL101" s="131"/>
      <c r="LM101" s="131"/>
      <c r="LN101" s="131"/>
      <c r="LO101" s="131"/>
      <c r="LP101" s="131"/>
      <c r="LQ101" s="131"/>
      <c r="LR101" s="131"/>
      <c r="LS101" s="131"/>
      <c r="LT101" s="131"/>
      <c r="LU101" s="131"/>
      <c r="LV101" s="131"/>
      <c r="LW101" s="131"/>
      <c r="LX101" s="131"/>
      <c r="LY101" s="131"/>
      <c r="LZ101" s="131"/>
      <c r="MA101" s="131"/>
      <c r="MB101" s="131"/>
      <c r="MC101" s="131"/>
      <c r="MD101" s="131"/>
      <c r="ME101" s="131"/>
      <c r="MF101" s="131"/>
      <c r="MG101" s="131"/>
      <c r="MH101" s="131"/>
      <c r="MI101" s="131"/>
      <c r="MJ101" s="131"/>
      <c r="MK101" s="131"/>
      <c r="ML101" s="131"/>
      <c r="MM101" s="131"/>
      <c r="MN101" s="131"/>
      <c r="MO101" s="131"/>
      <c r="MP101" s="131"/>
      <c r="MQ101" s="131"/>
      <c r="MR101" s="131"/>
      <c r="MS101" s="131"/>
      <c r="MT101" s="131"/>
      <c r="MU101" s="131"/>
      <c r="MV101" s="131"/>
      <c r="MW101" s="131"/>
      <c r="MX101" s="131"/>
      <c r="MY101" s="131"/>
      <c r="MZ101" s="131"/>
      <c r="NA101" s="131"/>
      <c r="NB101" s="131"/>
      <c r="NC101" s="131"/>
      <c r="ND101" s="131"/>
      <c r="NE101" s="131"/>
      <c r="NF101" s="131"/>
      <c r="NG101" s="131"/>
      <c r="NH101" s="131"/>
      <c r="NI101" s="131"/>
      <c r="NJ101" s="131"/>
      <c r="NK101" s="131"/>
      <c r="NL101" s="131"/>
      <c r="NM101" s="131"/>
      <c r="NN101" s="131"/>
      <c r="NO101" s="131"/>
      <c r="NP101" s="131"/>
      <c r="NQ101" s="131"/>
      <c r="NR101" s="131"/>
      <c r="NS101" s="131"/>
      <c r="NT101" s="131"/>
      <c r="NU101" s="131"/>
      <c r="NV101" s="131"/>
      <c r="NW101" s="131"/>
      <c r="NX101" s="131"/>
      <c r="NY101" s="131"/>
      <c r="NZ101" s="131"/>
      <c r="OA101" s="131"/>
      <c r="OB101" s="131"/>
      <c r="OC101" s="131"/>
      <c r="OD101" s="131"/>
      <c r="OE101" s="131"/>
      <c r="OF101" s="131"/>
      <c r="OG101" s="131"/>
      <c r="OH101" s="132"/>
    </row>
    <row r="102" spans="1:398" x14ac:dyDescent="0.35">
      <c r="A102" s="102"/>
      <c r="B102" s="168">
        <f t="shared" si="62"/>
        <v>74</v>
      </c>
      <c r="C102" s="171" t="s">
        <v>903</v>
      </c>
      <c r="D102" s="124" t="s">
        <v>752</v>
      </c>
      <c r="E102" s="124" t="s">
        <v>916</v>
      </c>
      <c r="F102" s="125" t="s">
        <v>906</v>
      </c>
      <c r="G102" s="125" t="s">
        <v>738</v>
      </c>
      <c r="H102" s="125"/>
      <c r="I102" s="130">
        <f t="shared" ref="I102:Q102" si="65">SUM(I96:I101)</f>
        <v>0</v>
      </c>
      <c r="J102" s="130">
        <f>SUM(J96:J101)</f>
        <v>0</v>
      </c>
      <c r="K102" s="130">
        <f t="shared" si="65"/>
        <v>0</v>
      </c>
      <c r="L102" s="130">
        <f t="shared" si="65"/>
        <v>0</v>
      </c>
      <c r="M102" s="130">
        <f t="shared" si="65"/>
        <v>0</v>
      </c>
      <c r="N102" s="130">
        <f t="shared" si="65"/>
        <v>0</v>
      </c>
      <c r="O102" s="130">
        <f t="shared" si="65"/>
        <v>0</v>
      </c>
      <c r="P102" s="130">
        <f t="shared" si="65"/>
        <v>0</v>
      </c>
      <c r="Q102" s="130">
        <f t="shared" si="65"/>
        <v>0</v>
      </c>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c r="AW102" s="131"/>
      <c r="AX102" s="131"/>
      <c r="AY102" s="131"/>
      <c r="AZ102" s="131"/>
      <c r="BA102" s="131"/>
      <c r="BB102" s="131"/>
      <c r="BC102" s="131"/>
      <c r="BD102" s="131"/>
      <c r="BE102" s="131"/>
      <c r="BF102" s="131"/>
      <c r="BG102" s="131"/>
      <c r="BH102" s="131"/>
      <c r="BI102" s="131"/>
      <c r="BJ102" s="131"/>
      <c r="BK102" s="131"/>
      <c r="BL102" s="131"/>
      <c r="BM102" s="131"/>
      <c r="BN102" s="131"/>
      <c r="BO102" s="131"/>
      <c r="BP102" s="131"/>
      <c r="BQ102" s="131"/>
      <c r="BR102" s="131"/>
      <c r="BS102" s="131"/>
      <c r="BT102" s="131"/>
      <c r="BU102" s="131"/>
      <c r="BV102" s="131"/>
      <c r="BW102" s="131"/>
      <c r="BX102" s="131"/>
      <c r="BY102" s="131"/>
      <c r="BZ102" s="131"/>
      <c r="CA102" s="131"/>
      <c r="CB102" s="131"/>
      <c r="CC102" s="131"/>
      <c r="CD102" s="131"/>
      <c r="CE102" s="131"/>
      <c r="CF102" s="131"/>
      <c r="CG102" s="131"/>
      <c r="CH102" s="131"/>
      <c r="CI102" s="131"/>
      <c r="CJ102" s="131"/>
      <c r="CK102" s="131"/>
      <c r="CL102" s="131"/>
      <c r="CM102" s="131"/>
      <c r="CN102" s="131"/>
      <c r="CO102" s="131"/>
      <c r="CP102" s="131"/>
      <c r="CQ102" s="131"/>
      <c r="CR102" s="131"/>
      <c r="CS102" s="131"/>
      <c r="CT102" s="131"/>
      <c r="CU102" s="131"/>
      <c r="CV102" s="131"/>
      <c r="CW102" s="131"/>
      <c r="CX102" s="131"/>
      <c r="CY102" s="131"/>
      <c r="CZ102" s="131"/>
      <c r="DA102" s="131"/>
      <c r="DB102" s="131"/>
      <c r="DC102" s="131"/>
      <c r="DD102" s="131"/>
      <c r="DE102" s="131"/>
      <c r="DF102" s="131"/>
      <c r="DG102" s="131"/>
      <c r="DH102" s="131"/>
      <c r="DI102" s="131"/>
      <c r="DJ102" s="131"/>
      <c r="DK102" s="131"/>
      <c r="DL102" s="131"/>
      <c r="DM102" s="131"/>
      <c r="DN102" s="131"/>
      <c r="DO102" s="131"/>
      <c r="DP102" s="131"/>
      <c r="DQ102" s="131"/>
      <c r="DR102" s="131"/>
      <c r="DS102" s="131"/>
      <c r="DT102" s="131"/>
      <c r="DU102" s="131"/>
      <c r="DV102" s="131"/>
      <c r="DW102" s="131"/>
      <c r="DX102" s="131"/>
      <c r="DY102" s="131"/>
      <c r="DZ102" s="131"/>
      <c r="EA102" s="131"/>
      <c r="EB102" s="131"/>
      <c r="EC102" s="131"/>
      <c r="ED102" s="131"/>
      <c r="EE102" s="131"/>
      <c r="EF102" s="131"/>
      <c r="EG102" s="131"/>
      <c r="EH102" s="131"/>
      <c r="EI102" s="131"/>
      <c r="EJ102" s="131"/>
      <c r="EK102" s="131"/>
      <c r="EL102" s="131"/>
      <c r="EM102" s="131"/>
      <c r="EN102" s="131"/>
      <c r="EO102" s="131"/>
      <c r="EP102" s="131"/>
      <c r="EQ102" s="131"/>
      <c r="ER102" s="131"/>
      <c r="ES102" s="131"/>
      <c r="ET102" s="131"/>
      <c r="EU102" s="131"/>
      <c r="EV102" s="131"/>
      <c r="EW102" s="131"/>
      <c r="EX102" s="131"/>
      <c r="EY102" s="131"/>
      <c r="EZ102" s="131"/>
      <c r="FA102" s="131"/>
      <c r="FB102" s="131"/>
      <c r="FC102" s="131"/>
      <c r="FD102" s="131"/>
      <c r="FE102" s="131"/>
      <c r="FF102" s="131"/>
      <c r="FG102" s="131"/>
      <c r="FH102" s="131"/>
      <c r="FI102" s="131"/>
      <c r="FJ102" s="131"/>
      <c r="FK102" s="131"/>
      <c r="FL102" s="131"/>
      <c r="FM102" s="131"/>
      <c r="FN102" s="131"/>
      <c r="FO102" s="131"/>
      <c r="FP102" s="131"/>
      <c r="FQ102" s="131"/>
      <c r="FR102" s="131"/>
      <c r="FS102" s="131"/>
      <c r="FT102" s="131"/>
      <c r="FU102" s="131"/>
      <c r="FV102" s="131"/>
      <c r="FW102" s="131"/>
      <c r="FX102" s="131"/>
      <c r="FY102" s="131"/>
      <c r="FZ102" s="131"/>
      <c r="GA102" s="131"/>
      <c r="GB102" s="131"/>
      <c r="GC102" s="131"/>
      <c r="GD102" s="131"/>
      <c r="GE102" s="131"/>
      <c r="GF102" s="131"/>
      <c r="GG102" s="131"/>
      <c r="GH102" s="131"/>
      <c r="GI102" s="131"/>
      <c r="GJ102" s="131"/>
      <c r="GK102" s="131"/>
      <c r="GL102" s="131"/>
      <c r="GM102" s="131"/>
      <c r="GN102" s="131"/>
      <c r="GO102" s="131"/>
      <c r="GP102" s="131"/>
      <c r="GQ102" s="131"/>
      <c r="GR102" s="131"/>
      <c r="GS102" s="131"/>
      <c r="GT102" s="131"/>
      <c r="GU102" s="131"/>
      <c r="GV102" s="131"/>
      <c r="GW102" s="131"/>
      <c r="GX102" s="131"/>
      <c r="GY102" s="131"/>
      <c r="GZ102" s="131"/>
      <c r="HA102" s="131"/>
      <c r="HB102" s="131"/>
      <c r="HC102" s="131"/>
      <c r="HD102" s="131"/>
      <c r="HE102" s="131"/>
      <c r="HF102" s="131"/>
      <c r="HG102" s="131"/>
      <c r="HH102" s="131"/>
      <c r="HI102" s="131"/>
      <c r="HJ102" s="131"/>
      <c r="HK102" s="131"/>
      <c r="HL102" s="131"/>
      <c r="HM102" s="131"/>
      <c r="HN102" s="131"/>
      <c r="HO102" s="131"/>
      <c r="HP102" s="131"/>
      <c r="HQ102" s="131"/>
      <c r="HR102" s="131"/>
      <c r="HS102" s="131"/>
      <c r="HT102" s="131"/>
      <c r="HU102" s="131"/>
      <c r="HV102" s="131"/>
      <c r="HW102" s="131"/>
      <c r="HX102" s="131"/>
      <c r="HY102" s="131"/>
      <c r="HZ102" s="131"/>
      <c r="IA102" s="131"/>
      <c r="IB102" s="131"/>
      <c r="IC102" s="131"/>
      <c r="ID102" s="131"/>
      <c r="IE102" s="131"/>
      <c r="IF102" s="131"/>
      <c r="IG102" s="131"/>
      <c r="IH102" s="131"/>
      <c r="II102" s="131"/>
      <c r="IJ102" s="131"/>
      <c r="IK102" s="131"/>
      <c r="IL102" s="131"/>
      <c r="IM102" s="131"/>
      <c r="IN102" s="131"/>
      <c r="IO102" s="131"/>
      <c r="IP102" s="131"/>
      <c r="IQ102" s="131"/>
      <c r="IR102" s="131"/>
      <c r="IS102" s="131"/>
      <c r="IT102" s="131"/>
      <c r="IU102" s="131"/>
      <c r="IV102" s="131"/>
      <c r="IW102" s="131"/>
      <c r="IX102" s="131"/>
      <c r="IY102" s="131"/>
      <c r="IZ102" s="131"/>
      <c r="JA102" s="131"/>
      <c r="JB102" s="131"/>
      <c r="JC102" s="131"/>
      <c r="JD102" s="131"/>
      <c r="JE102" s="131"/>
      <c r="JF102" s="131"/>
      <c r="JG102" s="131"/>
      <c r="JH102" s="131"/>
      <c r="JI102" s="131"/>
      <c r="JJ102" s="131"/>
      <c r="JK102" s="131"/>
      <c r="JL102" s="131"/>
      <c r="JM102" s="131"/>
      <c r="JN102" s="131"/>
      <c r="JO102" s="131"/>
      <c r="JP102" s="131"/>
      <c r="JQ102" s="131"/>
      <c r="JR102" s="131"/>
      <c r="JS102" s="131"/>
      <c r="JT102" s="131"/>
      <c r="JU102" s="131"/>
      <c r="JV102" s="131"/>
      <c r="JW102" s="131"/>
      <c r="JX102" s="131"/>
      <c r="JY102" s="131"/>
      <c r="JZ102" s="131"/>
      <c r="KA102" s="131"/>
      <c r="KB102" s="131"/>
      <c r="KC102" s="131"/>
      <c r="KD102" s="131"/>
      <c r="KE102" s="131"/>
      <c r="KF102" s="131"/>
      <c r="KG102" s="131"/>
      <c r="KH102" s="131"/>
      <c r="KI102" s="131"/>
      <c r="KJ102" s="131"/>
      <c r="KK102" s="131"/>
      <c r="KL102" s="131"/>
      <c r="KM102" s="131"/>
      <c r="KN102" s="131"/>
      <c r="KO102" s="131"/>
      <c r="KP102" s="131"/>
      <c r="KQ102" s="131"/>
      <c r="KR102" s="131"/>
      <c r="KS102" s="131"/>
      <c r="KT102" s="131"/>
      <c r="KU102" s="131"/>
      <c r="KV102" s="131"/>
      <c r="KW102" s="131"/>
      <c r="KX102" s="131"/>
      <c r="KY102" s="131"/>
      <c r="KZ102" s="131"/>
      <c r="LA102" s="131"/>
      <c r="LB102" s="131"/>
      <c r="LC102" s="131"/>
      <c r="LD102" s="131"/>
      <c r="LE102" s="131"/>
      <c r="LF102" s="131"/>
      <c r="LG102" s="131"/>
      <c r="LH102" s="131"/>
      <c r="LI102" s="131"/>
      <c r="LJ102" s="131"/>
      <c r="LK102" s="131"/>
      <c r="LL102" s="131"/>
      <c r="LM102" s="131"/>
      <c r="LN102" s="131"/>
      <c r="LO102" s="131"/>
      <c r="LP102" s="131"/>
      <c r="LQ102" s="131"/>
      <c r="LR102" s="131"/>
      <c r="LS102" s="131"/>
      <c r="LT102" s="131"/>
      <c r="LU102" s="131"/>
      <c r="LV102" s="131"/>
      <c r="LW102" s="131"/>
      <c r="LX102" s="131"/>
      <c r="LY102" s="131"/>
      <c r="LZ102" s="131"/>
      <c r="MA102" s="131"/>
      <c r="MB102" s="131"/>
      <c r="MC102" s="131"/>
      <c r="MD102" s="131"/>
      <c r="ME102" s="131"/>
      <c r="MF102" s="131"/>
      <c r="MG102" s="131"/>
      <c r="MH102" s="131"/>
      <c r="MI102" s="131"/>
      <c r="MJ102" s="131"/>
      <c r="MK102" s="131"/>
      <c r="ML102" s="131"/>
      <c r="MM102" s="131"/>
      <c r="MN102" s="131"/>
      <c r="MO102" s="131"/>
      <c r="MP102" s="131"/>
      <c r="MQ102" s="131"/>
      <c r="MR102" s="131"/>
      <c r="MS102" s="131"/>
      <c r="MT102" s="131"/>
      <c r="MU102" s="131"/>
      <c r="MV102" s="131"/>
      <c r="MW102" s="131"/>
      <c r="MX102" s="131"/>
      <c r="MY102" s="131"/>
      <c r="MZ102" s="131"/>
      <c r="NA102" s="131"/>
      <c r="NB102" s="131"/>
      <c r="NC102" s="131"/>
      <c r="ND102" s="131"/>
      <c r="NE102" s="131"/>
      <c r="NF102" s="131"/>
      <c r="NG102" s="131"/>
      <c r="NH102" s="131"/>
      <c r="NI102" s="131"/>
      <c r="NJ102" s="131"/>
      <c r="NK102" s="131"/>
      <c r="NL102" s="131"/>
      <c r="NM102" s="131"/>
      <c r="NN102" s="131"/>
      <c r="NO102" s="131"/>
      <c r="NP102" s="131"/>
      <c r="NQ102" s="131"/>
      <c r="NR102" s="131"/>
      <c r="NS102" s="131"/>
      <c r="NT102" s="131"/>
      <c r="NU102" s="131"/>
      <c r="NV102" s="131"/>
      <c r="NW102" s="131"/>
      <c r="NX102" s="131"/>
      <c r="NY102" s="131"/>
      <c r="NZ102" s="131"/>
      <c r="OA102" s="131"/>
      <c r="OB102" s="131"/>
      <c r="OC102" s="131"/>
      <c r="OD102" s="131"/>
      <c r="OE102" s="131"/>
      <c r="OF102" s="131"/>
      <c r="OG102" s="131"/>
      <c r="OH102" s="132"/>
    </row>
    <row r="103" spans="1:398" x14ac:dyDescent="0.35">
      <c r="A103" s="102"/>
      <c r="B103" s="168">
        <f t="shared" si="62"/>
        <v>75</v>
      </c>
      <c r="C103" s="171" t="s">
        <v>903</v>
      </c>
      <c r="D103" s="124" t="s">
        <v>752</v>
      </c>
      <c r="E103" s="124" t="s">
        <v>916</v>
      </c>
      <c r="F103" s="125" t="s">
        <v>907</v>
      </c>
      <c r="G103" s="125" t="s">
        <v>739</v>
      </c>
      <c r="H103" s="125"/>
      <c r="I103" s="129">
        <v>0</v>
      </c>
      <c r="J103" s="129">
        <v>0</v>
      </c>
      <c r="K103" s="129">
        <v>0</v>
      </c>
      <c r="L103" s="129">
        <v>0</v>
      </c>
      <c r="M103" s="129">
        <v>0</v>
      </c>
      <c r="N103" s="129">
        <v>0</v>
      </c>
      <c r="O103" s="130">
        <f t="shared" ref="O103:O108" si="66">SUM(P103,R103)</f>
        <v>0</v>
      </c>
      <c r="P103" s="129">
        <v>0</v>
      </c>
      <c r="Q103" s="129">
        <v>0</v>
      </c>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c r="AV103" s="131"/>
      <c r="AW103" s="131"/>
      <c r="AX103" s="131"/>
      <c r="AY103" s="131"/>
      <c r="AZ103" s="131"/>
      <c r="BA103" s="131"/>
      <c r="BB103" s="131"/>
      <c r="BC103" s="131"/>
      <c r="BD103" s="131"/>
      <c r="BE103" s="131"/>
      <c r="BF103" s="131"/>
      <c r="BG103" s="131"/>
      <c r="BH103" s="131"/>
      <c r="BI103" s="131"/>
      <c r="BJ103" s="131"/>
      <c r="BK103" s="131"/>
      <c r="BL103" s="131"/>
      <c r="BM103" s="131"/>
      <c r="BN103" s="131"/>
      <c r="BO103" s="131"/>
      <c r="BP103" s="131"/>
      <c r="BQ103" s="131"/>
      <c r="BR103" s="131"/>
      <c r="BS103" s="131"/>
      <c r="BT103" s="131"/>
      <c r="BU103" s="131"/>
      <c r="BV103" s="131"/>
      <c r="BW103" s="131"/>
      <c r="BX103" s="131"/>
      <c r="BY103" s="131"/>
      <c r="BZ103" s="131"/>
      <c r="CA103" s="131"/>
      <c r="CB103" s="131"/>
      <c r="CC103" s="131"/>
      <c r="CD103" s="131"/>
      <c r="CE103" s="131"/>
      <c r="CF103" s="131"/>
      <c r="CG103" s="131"/>
      <c r="CH103" s="131"/>
      <c r="CI103" s="131"/>
      <c r="CJ103" s="131"/>
      <c r="CK103" s="131"/>
      <c r="CL103" s="131"/>
      <c r="CM103" s="131"/>
      <c r="CN103" s="131"/>
      <c r="CO103" s="131"/>
      <c r="CP103" s="131"/>
      <c r="CQ103" s="131"/>
      <c r="CR103" s="131"/>
      <c r="CS103" s="131"/>
      <c r="CT103" s="131"/>
      <c r="CU103" s="131"/>
      <c r="CV103" s="131"/>
      <c r="CW103" s="131"/>
      <c r="CX103" s="131"/>
      <c r="CY103" s="131"/>
      <c r="CZ103" s="131"/>
      <c r="DA103" s="131"/>
      <c r="DB103" s="131"/>
      <c r="DC103" s="131"/>
      <c r="DD103" s="131"/>
      <c r="DE103" s="131"/>
      <c r="DF103" s="131"/>
      <c r="DG103" s="131"/>
      <c r="DH103" s="131"/>
      <c r="DI103" s="131"/>
      <c r="DJ103" s="131"/>
      <c r="DK103" s="131"/>
      <c r="DL103" s="131"/>
      <c r="DM103" s="131"/>
      <c r="DN103" s="131"/>
      <c r="DO103" s="131"/>
      <c r="DP103" s="131"/>
      <c r="DQ103" s="131"/>
      <c r="DR103" s="131"/>
      <c r="DS103" s="131"/>
      <c r="DT103" s="131"/>
      <c r="DU103" s="131"/>
      <c r="DV103" s="131"/>
      <c r="DW103" s="131"/>
      <c r="DX103" s="131"/>
      <c r="DY103" s="131"/>
      <c r="DZ103" s="131"/>
      <c r="EA103" s="131"/>
      <c r="EB103" s="131"/>
      <c r="EC103" s="131"/>
      <c r="ED103" s="131"/>
      <c r="EE103" s="131"/>
      <c r="EF103" s="131"/>
      <c r="EG103" s="131"/>
      <c r="EH103" s="131"/>
      <c r="EI103" s="131"/>
      <c r="EJ103" s="131"/>
      <c r="EK103" s="131"/>
      <c r="EL103" s="131"/>
      <c r="EM103" s="131"/>
      <c r="EN103" s="131"/>
      <c r="EO103" s="131"/>
      <c r="EP103" s="131"/>
      <c r="EQ103" s="131"/>
      <c r="ER103" s="131"/>
      <c r="ES103" s="131"/>
      <c r="ET103" s="131"/>
      <c r="EU103" s="131"/>
      <c r="EV103" s="131"/>
      <c r="EW103" s="131"/>
      <c r="EX103" s="131"/>
      <c r="EY103" s="131"/>
      <c r="EZ103" s="131"/>
      <c r="FA103" s="131"/>
      <c r="FB103" s="131"/>
      <c r="FC103" s="131"/>
      <c r="FD103" s="131"/>
      <c r="FE103" s="131"/>
      <c r="FF103" s="131"/>
      <c r="FG103" s="131"/>
      <c r="FH103" s="131"/>
      <c r="FI103" s="131"/>
      <c r="FJ103" s="131"/>
      <c r="FK103" s="131"/>
      <c r="FL103" s="131"/>
      <c r="FM103" s="131"/>
      <c r="FN103" s="131"/>
      <c r="FO103" s="131"/>
      <c r="FP103" s="131"/>
      <c r="FQ103" s="131"/>
      <c r="FR103" s="131"/>
      <c r="FS103" s="131"/>
      <c r="FT103" s="131"/>
      <c r="FU103" s="131"/>
      <c r="FV103" s="131"/>
      <c r="FW103" s="131"/>
      <c r="FX103" s="131"/>
      <c r="FY103" s="131"/>
      <c r="FZ103" s="131"/>
      <c r="GA103" s="131"/>
      <c r="GB103" s="131"/>
      <c r="GC103" s="131"/>
      <c r="GD103" s="131"/>
      <c r="GE103" s="131"/>
      <c r="GF103" s="131"/>
      <c r="GG103" s="131"/>
      <c r="GH103" s="131"/>
      <c r="GI103" s="131"/>
      <c r="GJ103" s="131"/>
      <c r="GK103" s="131"/>
      <c r="GL103" s="131"/>
      <c r="GM103" s="131"/>
      <c r="GN103" s="131"/>
      <c r="GO103" s="131"/>
      <c r="GP103" s="131"/>
      <c r="GQ103" s="131"/>
      <c r="GR103" s="131"/>
      <c r="GS103" s="131"/>
      <c r="GT103" s="131"/>
      <c r="GU103" s="131"/>
      <c r="GV103" s="131"/>
      <c r="GW103" s="131"/>
      <c r="GX103" s="131"/>
      <c r="GY103" s="131"/>
      <c r="GZ103" s="131"/>
      <c r="HA103" s="131"/>
      <c r="HB103" s="131"/>
      <c r="HC103" s="131"/>
      <c r="HD103" s="131"/>
      <c r="HE103" s="131"/>
      <c r="HF103" s="131"/>
      <c r="HG103" s="131"/>
      <c r="HH103" s="131"/>
      <c r="HI103" s="131"/>
      <c r="HJ103" s="131"/>
      <c r="HK103" s="131"/>
      <c r="HL103" s="131"/>
      <c r="HM103" s="131"/>
      <c r="HN103" s="131"/>
      <c r="HO103" s="131"/>
      <c r="HP103" s="131"/>
      <c r="HQ103" s="131"/>
      <c r="HR103" s="131"/>
      <c r="HS103" s="131"/>
      <c r="HT103" s="131"/>
      <c r="HU103" s="131"/>
      <c r="HV103" s="131"/>
      <c r="HW103" s="131"/>
      <c r="HX103" s="131"/>
      <c r="HY103" s="131"/>
      <c r="HZ103" s="131"/>
      <c r="IA103" s="131"/>
      <c r="IB103" s="131"/>
      <c r="IC103" s="131"/>
      <c r="ID103" s="131"/>
      <c r="IE103" s="131"/>
      <c r="IF103" s="131"/>
      <c r="IG103" s="131"/>
      <c r="IH103" s="131"/>
      <c r="II103" s="131"/>
      <c r="IJ103" s="131"/>
      <c r="IK103" s="131"/>
      <c r="IL103" s="131"/>
      <c r="IM103" s="131"/>
      <c r="IN103" s="131"/>
      <c r="IO103" s="131"/>
      <c r="IP103" s="131"/>
      <c r="IQ103" s="131"/>
      <c r="IR103" s="131"/>
      <c r="IS103" s="131"/>
      <c r="IT103" s="131"/>
      <c r="IU103" s="131"/>
      <c r="IV103" s="131"/>
      <c r="IW103" s="131"/>
      <c r="IX103" s="131"/>
      <c r="IY103" s="131"/>
      <c r="IZ103" s="131"/>
      <c r="JA103" s="131"/>
      <c r="JB103" s="131"/>
      <c r="JC103" s="131"/>
      <c r="JD103" s="131"/>
      <c r="JE103" s="131"/>
      <c r="JF103" s="131"/>
      <c r="JG103" s="131"/>
      <c r="JH103" s="131"/>
      <c r="JI103" s="131"/>
      <c r="JJ103" s="131"/>
      <c r="JK103" s="131"/>
      <c r="JL103" s="131"/>
      <c r="JM103" s="131"/>
      <c r="JN103" s="131"/>
      <c r="JO103" s="131"/>
      <c r="JP103" s="131"/>
      <c r="JQ103" s="131"/>
      <c r="JR103" s="131"/>
      <c r="JS103" s="131"/>
      <c r="JT103" s="131"/>
      <c r="JU103" s="131"/>
      <c r="JV103" s="131"/>
      <c r="JW103" s="131"/>
      <c r="JX103" s="131"/>
      <c r="JY103" s="131"/>
      <c r="JZ103" s="131"/>
      <c r="KA103" s="131"/>
      <c r="KB103" s="131"/>
      <c r="KC103" s="131"/>
      <c r="KD103" s="131"/>
      <c r="KE103" s="131"/>
      <c r="KF103" s="131"/>
      <c r="KG103" s="131"/>
      <c r="KH103" s="131"/>
      <c r="KI103" s="131"/>
      <c r="KJ103" s="131"/>
      <c r="KK103" s="131"/>
      <c r="KL103" s="131"/>
      <c r="KM103" s="131"/>
      <c r="KN103" s="131"/>
      <c r="KO103" s="131"/>
      <c r="KP103" s="131"/>
      <c r="KQ103" s="131"/>
      <c r="KR103" s="131"/>
      <c r="KS103" s="131"/>
      <c r="KT103" s="131"/>
      <c r="KU103" s="131"/>
      <c r="KV103" s="131"/>
      <c r="KW103" s="131"/>
      <c r="KX103" s="131"/>
      <c r="KY103" s="131"/>
      <c r="KZ103" s="131"/>
      <c r="LA103" s="131"/>
      <c r="LB103" s="131"/>
      <c r="LC103" s="131"/>
      <c r="LD103" s="131"/>
      <c r="LE103" s="131"/>
      <c r="LF103" s="131"/>
      <c r="LG103" s="131"/>
      <c r="LH103" s="131"/>
      <c r="LI103" s="131"/>
      <c r="LJ103" s="131"/>
      <c r="LK103" s="131"/>
      <c r="LL103" s="131"/>
      <c r="LM103" s="131"/>
      <c r="LN103" s="131"/>
      <c r="LO103" s="131"/>
      <c r="LP103" s="131"/>
      <c r="LQ103" s="131"/>
      <c r="LR103" s="131"/>
      <c r="LS103" s="131"/>
      <c r="LT103" s="131"/>
      <c r="LU103" s="131"/>
      <c r="LV103" s="131"/>
      <c r="LW103" s="131"/>
      <c r="LX103" s="131"/>
      <c r="LY103" s="131"/>
      <c r="LZ103" s="131"/>
      <c r="MA103" s="131"/>
      <c r="MB103" s="131"/>
      <c r="MC103" s="131"/>
      <c r="MD103" s="131"/>
      <c r="ME103" s="131"/>
      <c r="MF103" s="131"/>
      <c r="MG103" s="131"/>
      <c r="MH103" s="131"/>
      <c r="MI103" s="131"/>
      <c r="MJ103" s="131"/>
      <c r="MK103" s="131"/>
      <c r="ML103" s="131"/>
      <c r="MM103" s="131"/>
      <c r="MN103" s="131"/>
      <c r="MO103" s="131"/>
      <c r="MP103" s="131"/>
      <c r="MQ103" s="131"/>
      <c r="MR103" s="131"/>
      <c r="MS103" s="131"/>
      <c r="MT103" s="131"/>
      <c r="MU103" s="131"/>
      <c r="MV103" s="131"/>
      <c r="MW103" s="131"/>
      <c r="MX103" s="131"/>
      <c r="MY103" s="131"/>
      <c r="MZ103" s="131"/>
      <c r="NA103" s="131"/>
      <c r="NB103" s="131"/>
      <c r="NC103" s="131"/>
      <c r="ND103" s="131"/>
      <c r="NE103" s="131"/>
      <c r="NF103" s="131"/>
      <c r="NG103" s="131"/>
      <c r="NH103" s="131"/>
      <c r="NI103" s="131"/>
      <c r="NJ103" s="131"/>
      <c r="NK103" s="131"/>
      <c r="NL103" s="131"/>
      <c r="NM103" s="131"/>
      <c r="NN103" s="131"/>
      <c r="NO103" s="131"/>
      <c r="NP103" s="131"/>
      <c r="NQ103" s="131"/>
      <c r="NR103" s="131"/>
      <c r="NS103" s="131"/>
      <c r="NT103" s="131"/>
      <c r="NU103" s="131"/>
      <c r="NV103" s="131"/>
      <c r="NW103" s="131"/>
      <c r="NX103" s="131"/>
      <c r="NY103" s="131"/>
      <c r="NZ103" s="131"/>
      <c r="OA103" s="131"/>
      <c r="OB103" s="131"/>
      <c r="OC103" s="131"/>
      <c r="OD103" s="131"/>
      <c r="OE103" s="131"/>
      <c r="OF103" s="131"/>
      <c r="OG103" s="131"/>
      <c r="OH103" s="132"/>
    </row>
    <row r="104" spans="1:398" x14ac:dyDescent="0.35">
      <c r="A104" s="102"/>
      <c r="B104" s="168">
        <f t="shared" si="62"/>
        <v>76</v>
      </c>
      <c r="C104" s="171" t="s">
        <v>903</v>
      </c>
      <c r="D104" s="124" t="s">
        <v>752</v>
      </c>
      <c r="E104" s="124" t="s">
        <v>916</v>
      </c>
      <c r="F104" s="125" t="s">
        <v>907</v>
      </c>
      <c r="G104" s="125" t="s">
        <v>740</v>
      </c>
      <c r="H104" s="125"/>
      <c r="I104" s="129">
        <v>0</v>
      </c>
      <c r="J104" s="129">
        <v>0</v>
      </c>
      <c r="K104" s="129">
        <v>0</v>
      </c>
      <c r="L104" s="129">
        <v>0</v>
      </c>
      <c r="M104" s="129">
        <v>0</v>
      </c>
      <c r="N104" s="129">
        <v>0</v>
      </c>
      <c r="O104" s="130">
        <f t="shared" si="66"/>
        <v>0</v>
      </c>
      <c r="P104" s="129">
        <v>0</v>
      </c>
      <c r="Q104" s="129">
        <v>0</v>
      </c>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c r="AV104" s="131"/>
      <c r="AW104" s="131"/>
      <c r="AX104" s="131"/>
      <c r="AY104" s="131"/>
      <c r="AZ104" s="131"/>
      <c r="BA104" s="131"/>
      <c r="BB104" s="131"/>
      <c r="BC104" s="131"/>
      <c r="BD104" s="131"/>
      <c r="BE104" s="131"/>
      <c r="BF104" s="131"/>
      <c r="BG104" s="131"/>
      <c r="BH104" s="131"/>
      <c r="BI104" s="131"/>
      <c r="BJ104" s="131"/>
      <c r="BK104" s="131"/>
      <c r="BL104" s="131"/>
      <c r="BM104" s="131"/>
      <c r="BN104" s="131"/>
      <c r="BO104" s="131"/>
      <c r="BP104" s="131"/>
      <c r="BQ104" s="131"/>
      <c r="BR104" s="131"/>
      <c r="BS104" s="131"/>
      <c r="BT104" s="131"/>
      <c r="BU104" s="131"/>
      <c r="BV104" s="131"/>
      <c r="BW104" s="131"/>
      <c r="BX104" s="131"/>
      <c r="BY104" s="131"/>
      <c r="BZ104" s="131"/>
      <c r="CA104" s="131"/>
      <c r="CB104" s="131"/>
      <c r="CC104" s="131"/>
      <c r="CD104" s="131"/>
      <c r="CE104" s="131"/>
      <c r="CF104" s="131"/>
      <c r="CG104" s="131"/>
      <c r="CH104" s="131"/>
      <c r="CI104" s="131"/>
      <c r="CJ104" s="131"/>
      <c r="CK104" s="131"/>
      <c r="CL104" s="131"/>
      <c r="CM104" s="131"/>
      <c r="CN104" s="131"/>
      <c r="CO104" s="131"/>
      <c r="CP104" s="131"/>
      <c r="CQ104" s="131"/>
      <c r="CR104" s="131"/>
      <c r="CS104" s="131"/>
      <c r="CT104" s="131"/>
      <c r="CU104" s="131"/>
      <c r="CV104" s="131"/>
      <c r="CW104" s="131"/>
      <c r="CX104" s="131"/>
      <c r="CY104" s="131"/>
      <c r="CZ104" s="131"/>
      <c r="DA104" s="131"/>
      <c r="DB104" s="131"/>
      <c r="DC104" s="131"/>
      <c r="DD104" s="131"/>
      <c r="DE104" s="131"/>
      <c r="DF104" s="131"/>
      <c r="DG104" s="131"/>
      <c r="DH104" s="131"/>
      <c r="DI104" s="131"/>
      <c r="DJ104" s="131"/>
      <c r="DK104" s="131"/>
      <c r="DL104" s="131"/>
      <c r="DM104" s="131"/>
      <c r="DN104" s="131"/>
      <c r="DO104" s="131"/>
      <c r="DP104" s="131"/>
      <c r="DQ104" s="131"/>
      <c r="DR104" s="131"/>
      <c r="DS104" s="131"/>
      <c r="DT104" s="131"/>
      <c r="DU104" s="131"/>
      <c r="DV104" s="131"/>
      <c r="DW104" s="131"/>
      <c r="DX104" s="131"/>
      <c r="DY104" s="131"/>
      <c r="DZ104" s="131"/>
      <c r="EA104" s="131"/>
      <c r="EB104" s="131"/>
      <c r="EC104" s="131"/>
      <c r="ED104" s="131"/>
      <c r="EE104" s="131"/>
      <c r="EF104" s="131"/>
      <c r="EG104" s="131"/>
      <c r="EH104" s="131"/>
      <c r="EI104" s="131"/>
      <c r="EJ104" s="131"/>
      <c r="EK104" s="131"/>
      <c r="EL104" s="131"/>
      <c r="EM104" s="131"/>
      <c r="EN104" s="131"/>
      <c r="EO104" s="131"/>
      <c r="EP104" s="131"/>
      <c r="EQ104" s="131"/>
      <c r="ER104" s="131"/>
      <c r="ES104" s="131"/>
      <c r="ET104" s="131"/>
      <c r="EU104" s="131"/>
      <c r="EV104" s="131"/>
      <c r="EW104" s="131"/>
      <c r="EX104" s="131"/>
      <c r="EY104" s="131"/>
      <c r="EZ104" s="131"/>
      <c r="FA104" s="131"/>
      <c r="FB104" s="131"/>
      <c r="FC104" s="131"/>
      <c r="FD104" s="131"/>
      <c r="FE104" s="131"/>
      <c r="FF104" s="131"/>
      <c r="FG104" s="131"/>
      <c r="FH104" s="131"/>
      <c r="FI104" s="131"/>
      <c r="FJ104" s="131"/>
      <c r="FK104" s="131"/>
      <c r="FL104" s="131"/>
      <c r="FM104" s="131"/>
      <c r="FN104" s="131"/>
      <c r="FO104" s="131"/>
      <c r="FP104" s="131"/>
      <c r="FQ104" s="131"/>
      <c r="FR104" s="131"/>
      <c r="FS104" s="131"/>
      <c r="FT104" s="131"/>
      <c r="FU104" s="131"/>
      <c r="FV104" s="131"/>
      <c r="FW104" s="131"/>
      <c r="FX104" s="131"/>
      <c r="FY104" s="131"/>
      <c r="FZ104" s="131"/>
      <c r="GA104" s="131"/>
      <c r="GB104" s="131"/>
      <c r="GC104" s="131"/>
      <c r="GD104" s="131"/>
      <c r="GE104" s="131"/>
      <c r="GF104" s="131"/>
      <c r="GG104" s="131"/>
      <c r="GH104" s="131"/>
      <c r="GI104" s="131"/>
      <c r="GJ104" s="131"/>
      <c r="GK104" s="131"/>
      <c r="GL104" s="131"/>
      <c r="GM104" s="131"/>
      <c r="GN104" s="131"/>
      <c r="GO104" s="131"/>
      <c r="GP104" s="131"/>
      <c r="GQ104" s="131"/>
      <c r="GR104" s="131"/>
      <c r="GS104" s="131"/>
      <c r="GT104" s="131"/>
      <c r="GU104" s="131"/>
      <c r="GV104" s="131"/>
      <c r="GW104" s="131"/>
      <c r="GX104" s="131"/>
      <c r="GY104" s="131"/>
      <c r="GZ104" s="131"/>
      <c r="HA104" s="131"/>
      <c r="HB104" s="131"/>
      <c r="HC104" s="131"/>
      <c r="HD104" s="131"/>
      <c r="HE104" s="131"/>
      <c r="HF104" s="131"/>
      <c r="HG104" s="131"/>
      <c r="HH104" s="131"/>
      <c r="HI104" s="131"/>
      <c r="HJ104" s="131"/>
      <c r="HK104" s="131"/>
      <c r="HL104" s="131"/>
      <c r="HM104" s="131"/>
      <c r="HN104" s="131"/>
      <c r="HO104" s="131"/>
      <c r="HP104" s="131"/>
      <c r="HQ104" s="131"/>
      <c r="HR104" s="131"/>
      <c r="HS104" s="131"/>
      <c r="HT104" s="131"/>
      <c r="HU104" s="131"/>
      <c r="HV104" s="131"/>
      <c r="HW104" s="131"/>
      <c r="HX104" s="131"/>
      <c r="HY104" s="131"/>
      <c r="HZ104" s="131"/>
      <c r="IA104" s="131"/>
      <c r="IB104" s="131"/>
      <c r="IC104" s="131"/>
      <c r="ID104" s="131"/>
      <c r="IE104" s="131"/>
      <c r="IF104" s="131"/>
      <c r="IG104" s="131"/>
      <c r="IH104" s="131"/>
      <c r="II104" s="131"/>
      <c r="IJ104" s="131"/>
      <c r="IK104" s="131"/>
      <c r="IL104" s="131"/>
      <c r="IM104" s="131"/>
      <c r="IN104" s="131"/>
      <c r="IO104" s="131"/>
      <c r="IP104" s="131"/>
      <c r="IQ104" s="131"/>
      <c r="IR104" s="131"/>
      <c r="IS104" s="131"/>
      <c r="IT104" s="131"/>
      <c r="IU104" s="131"/>
      <c r="IV104" s="131"/>
      <c r="IW104" s="131"/>
      <c r="IX104" s="131"/>
      <c r="IY104" s="131"/>
      <c r="IZ104" s="131"/>
      <c r="JA104" s="131"/>
      <c r="JB104" s="131"/>
      <c r="JC104" s="131"/>
      <c r="JD104" s="131"/>
      <c r="JE104" s="131"/>
      <c r="JF104" s="131"/>
      <c r="JG104" s="131"/>
      <c r="JH104" s="131"/>
      <c r="JI104" s="131"/>
      <c r="JJ104" s="131"/>
      <c r="JK104" s="131"/>
      <c r="JL104" s="131"/>
      <c r="JM104" s="131"/>
      <c r="JN104" s="131"/>
      <c r="JO104" s="131"/>
      <c r="JP104" s="131"/>
      <c r="JQ104" s="131"/>
      <c r="JR104" s="131"/>
      <c r="JS104" s="131"/>
      <c r="JT104" s="131"/>
      <c r="JU104" s="131"/>
      <c r="JV104" s="131"/>
      <c r="JW104" s="131"/>
      <c r="JX104" s="131"/>
      <c r="JY104" s="131"/>
      <c r="JZ104" s="131"/>
      <c r="KA104" s="131"/>
      <c r="KB104" s="131"/>
      <c r="KC104" s="131"/>
      <c r="KD104" s="131"/>
      <c r="KE104" s="131"/>
      <c r="KF104" s="131"/>
      <c r="KG104" s="131"/>
      <c r="KH104" s="131"/>
      <c r="KI104" s="131"/>
      <c r="KJ104" s="131"/>
      <c r="KK104" s="131"/>
      <c r="KL104" s="131"/>
      <c r="KM104" s="131"/>
      <c r="KN104" s="131"/>
      <c r="KO104" s="131"/>
      <c r="KP104" s="131"/>
      <c r="KQ104" s="131"/>
      <c r="KR104" s="131"/>
      <c r="KS104" s="131"/>
      <c r="KT104" s="131"/>
      <c r="KU104" s="131"/>
      <c r="KV104" s="131"/>
      <c r="KW104" s="131"/>
      <c r="KX104" s="131"/>
      <c r="KY104" s="131"/>
      <c r="KZ104" s="131"/>
      <c r="LA104" s="131"/>
      <c r="LB104" s="131"/>
      <c r="LC104" s="131"/>
      <c r="LD104" s="131"/>
      <c r="LE104" s="131"/>
      <c r="LF104" s="131"/>
      <c r="LG104" s="131"/>
      <c r="LH104" s="131"/>
      <c r="LI104" s="131"/>
      <c r="LJ104" s="131"/>
      <c r="LK104" s="131"/>
      <c r="LL104" s="131"/>
      <c r="LM104" s="131"/>
      <c r="LN104" s="131"/>
      <c r="LO104" s="131"/>
      <c r="LP104" s="131"/>
      <c r="LQ104" s="131"/>
      <c r="LR104" s="131"/>
      <c r="LS104" s="131"/>
      <c r="LT104" s="131"/>
      <c r="LU104" s="131"/>
      <c r="LV104" s="131"/>
      <c r="LW104" s="131"/>
      <c r="LX104" s="131"/>
      <c r="LY104" s="131"/>
      <c r="LZ104" s="131"/>
      <c r="MA104" s="131"/>
      <c r="MB104" s="131"/>
      <c r="MC104" s="131"/>
      <c r="MD104" s="131"/>
      <c r="ME104" s="131"/>
      <c r="MF104" s="131"/>
      <c r="MG104" s="131"/>
      <c r="MH104" s="131"/>
      <c r="MI104" s="131"/>
      <c r="MJ104" s="131"/>
      <c r="MK104" s="131"/>
      <c r="ML104" s="131"/>
      <c r="MM104" s="131"/>
      <c r="MN104" s="131"/>
      <c r="MO104" s="131"/>
      <c r="MP104" s="131"/>
      <c r="MQ104" s="131"/>
      <c r="MR104" s="131"/>
      <c r="MS104" s="131"/>
      <c r="MT104" s="131"/>
      <c r="MU104" s="131"/>
      <c r="MV104" s="131"/>
      <c r="MW104" s="131"/>
      <c r="MX104" s="131"/>
      <c r="MY104" s="131"/>
      <c r="MZ104" s="131"/>
      <c r="NA104" s="131"/>
      <c r="NB104" s="131"/>
      <c r="NC104" s="131"/>
      <c r="ND104" s="131"/>
      <c r="NE104" s="131"/>
      <c r="NF104" s="131"/>
      <c r="NG104" s="131"/>
      <c r="NH104" s="131"/>
      <c r="NI104" s="131"/>
      <c r="NJ104" s="131"/>
      <c r="NK104" s="131"/>
      <c r="NL104" s="131"/>
      <c r="NM104" s="131"/>
      <c r="NN104" s="131"/>
      <c r="NO104" s="131"/>
      <c r="NP104" s="131"/>
      <c r="NQ104" s="131"/>
      <c r="NR104" s="131"/>
      <c r="NS104" s="131"/>
      <c r="NT104" s="131"/>
      <c r="NU104" s="131"/>
      <c r="NV104" s="131"/>
      <c r="NW104" s="131"/>
      <c r="NX104" s="131"/>
      <c r="NY104" s="131"/>
      <c r="NZ104" s="131"/>
      <c r="OA104" s="131"/>
      <c r="OB104" s="131"/>
      <c r="OC104" s="131"/>
      <c r="OD104" s="131"/>
      <c r="OE104" s="131"/>
      <c r="OF104" s="131"/>
      <c r="OG104" s="131"/>
      <c r="OH104" s="132"/>
    </row>
    <row r="105" spans="1:398" x14ac:dyDescent="0.35">
      <c r="A105" s="102"/>
      <c r="B105" s="168">
        <f t="shared" si="62"/>
        <v>77</v>
      </c>
      <c r="C105" s="171" t="s">
        <v>903</v>
      </c>
      <c r="D105" s="124" t="s">
        <v>752</v>
      </c>
      <c r="E105" s="124" t="s">
        <v>916</v>
      </c>
      <c r="F105" s="125" t="s">
        <v>907</v>
      </c>
      <c r="G105" s="125" t="s">
        <v>741</v>
      </c>
      <c r="H105" s="125"/>
      <c r="I105" s="129">
        <v>0</v>
      </c>
      <c r="J105" s="129">
        <v>0</v>
      </c>
      <c r="K105" s="129">
        <v>0</v>
      </c>
      <c r="L105" s="129">
        <v>0</v>
      </c>
      <c r="M105" s="129">
        <v>0</v>
      </c>
      <c r="N105" s="129">
        <v>0</v>
      </c>
      <c r="O105" s="130">
        <f t="shared" si="66"/>
        <v>0</v>
      </c>
      <c r="P105" s="129">
        <v>0</v>
      </c>
      <c r="Q105" s="129">
        <v>0</v>
      </c>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c r="AW105" s="131"/>
      <c r="AX105" s="131"/>
      <c r="AY105" s="131"/>
      <c r="AZ105" s="131"/>
      <c r="BA105" s="131"/>
      <c r="BB105" s="131"/>
      <c r="BC105" s="131"/>
      <c r="BD105" s="131"/>
      <c r="BE105" s="131"/>
      <c r="BF105" s="131"/>
      <c r="BG105" s="131"/>
      <c r="BH105" s="131"/>
      <c r="BI105" s="131"/>
      <c r="BJ105" s="131"/>
      <c r="BK105" s="131"/>
      <c r="BL105" s="131"/>
      <c r="BM105" s="131"/>
      <c r="BN105" s="131"/>
      <c r="BO105" s="131"/>
      <c r="BP105" s="131"/>
      <c r="BQ105" s="131"/>
      <c r="BR105" s="131"/>
      <c r="BS105" s="131"/>
      <c r="BT105" s="131"/>
      <c r="BU105" s="131"/>
      <c r="BV105" s="131"/>
      <c r="BW105" s="131"/>
      <c r="BX105" s="131"/>
      <c r="BY105" s="131"/>
      <c r="BZ105" s="131"/>
      <c r="CA105" s="131"/>
      <c r="CB105" s="131"/>
      <c r="CC105" s="131"/>
      <c r="CD105" s="131"/>
      <c r="CE105" s="131"/>
      <c r="CF105" s="131"/>
      <c r="CG105" s="131"/>
      <c r="CH105" s="131"/>
      <c r="CI105" s="131"/>
      <c r="CJ105" s="131"/>
      <c r="CK105" s="131"/>
      <c r="CL105" s="131"/>
      <c r="CM105" s="131"/>
      <c r="CN105" s="131"/>
      <c r="CO105" s="131"/>
      <c r="CP105" s="131"/>
      <c r="CQ105" s="131"/>
      <c r="CR105" s="131"/>
      <c r="CS105" s="131"/>
      <c r="CT105" s="131"/>
      <c r="CU105" s="131"/>
      <c r="CV105" s="131"/>
      <c r="CW105" s="131"/>
      <c r="CX105" s="131"/>
      <c r="CY105" s="131"/>
      <c r="CZ105" s="131"/>
      <c r="DA105" s="131"/>
      <c r="DB105" s="131"/>
      <c r="DC105" s="131"/>
      <c r="DD105" s="131"/>
      <c r="DE105" s="131"/>
      <c r="DF105" s="131"/>
      <c r="DG105" s="131"/>
      <c r="DH105" s="131"/>
      <c r="DI105" s="131"/>
      <c r="DJ105" s="131"/>
      <c r="DK105" s="131"/>
      <c r="DL105" s="131"/>
      <c r="DM105" s="131"/>
      <c r="DN105" s="131"/>
      <c r="DO105" s="131"/>
      <c r="DP105" s="131"/>
      <c r="DQ105" s="131"/>
      <c r="DR105" s="131"/>
      <c r="DS105" s="131"/>
      <c r="DT105" s="131"/>
      <c r="DU105" s="131"/>
      <c r="DV105" s="131"/>
      <c r="DW105" s="131"/>
      <c r="DX105" s="131"/>
      <c r="DY105" s="131"/>
      <c r="DZ105" s="131"/>
      <c r="EA105" s="131"/>
      <c r="EB105" s="131"/>
      <c r="EC105" s="131"/>
      <c r="ED105" s="131"/>
      <c r="EE105" s="131"/>
      <c r="EF105" s="131"/>
      <c r="EG105" s="131"/>
      <c r="EH105" s="131"/>
      <c r="EI105" s="131"/>
      <c r="EJ105" s="131"/>
      <c r="EK105" s="131"/>
      <c r="EL105" s="131"/>
      <c r="EM105" s="131"/>
      <c r="EN105" s="131"/>
      <c r="EO105" s="131"/>
      <c r="EP105" s="131"/>
      <c r="EQ105" s="131"/>
      <c r="ER105" s="131"/>
      <c r="ES105" s="131"/>
      <c r="ET105" s="131"/>
      <c r="EU105" s="131"/>
      <c r="EV105" s="131"/>
      <c r="EW105" s="131"/>
      <c r="EX105" s="131"/>
      <c r="EY105" s="131"/>
      <c r="EZ105" s="131"/>
      <c r="FA105" s="131"/>
      <c r="FB105" s="131"/>
      <c r="FC105" s="131"/>
      <c r="FD105" s="131"/>
      <c r="FE105" s="131"/>
      <c r="FF105" s="131"/>
      <c r="FG105" s="131"/>
      <c r="FH105" s="131"/>
      <c r="FI105" s="131"/>
      <c r="FJ105" s="131"/>
      <c r="FK105" s="131"/>
      <c r="FL105" s="131"/>
      <c r="FM105" s="131"/>
      <c r="FN105" s="131"/>
      <c r="FO105" s="131"/>
      <c r="FP105" s="131"/>
      <c r="FQ105" s="131"/>
      <c r="FR105" s="131"/>
      <c r="FS105" s="131"/>
      <c r="FT105" s="131"/>
      <c r="FU105" s="131"/>
      <c r="FV105" s="131"/>
      <c r="FW105" s="131"/>
      <c r="FX105" s="131"/>
      <c r="FY105" s="131"/>
      <c r="FZ105" s="131"/>
      <c r="GA105" s="131"/>
      <c r="GB105" s="131"/>
      <c r="GC105" s="131"/>
      <c r="GD105" s="131"/>
      <c r="GE105" s="131"/>
      <c r="GF105" s="131"/>
      <c r="GG105" s="131"/>
      <c r="GH105" s="131"/>
      <c r="GI105" s="131"/>
      <c r="GJ105" s="131"/>
      <c r="GK105" s="131"/>
      <c r="GL105" s="131"/>
      <c r="GM105" s="131"/>
      <c r="GN105" s="131"/>
      <c r="GO105" s="131"/>
      <c r="GP105" s="131"/>
      <c r="GQ105" s="131"/>
      <c r="GR105" s="131"/>
      <c r="GS105" s="131"/>
      <c r="GT105" s="131"/>
      <c r="GU105" s="131"/>
      <c r="GV105" s="131"/>
      <c r="GW105" s="131"/>
      <c r="GX105" s="131"/>
      <c r="GY105" s="131"/>
      <c r="GZ105" s="131"/>
      <c r="HA105" s="131"/>
      <c r="HB105" s="131"/>
      <c r="HC105" s="131"/>
      <c r="HD105" s="131"/>
      <c r="HE105" s="131"/>
      <c r="HF105" s="131"/>
      <c r="HG105" s="131"/>
      <c r="HH105" s="131"/>
      <c r="HI105" s="131"/>
      <c r="HJ105" s="131"/>
      <c r="HK105" s="131"/>
      <c r="HL105" s="131"/>
      <c r="HM105" s="131"/>
      <c r="HN105" s="131"/>
      <c r="HO105" s="131"/>
      <c r="HP105" s="131"/>
      <c r="HQ105" s="131"/>
      <c r="HR105" s="131"/>
      <c r="HS105" s="131"/>
      <c r="HT105" s="131"/>
      <c r="HU105" s="131"/>
      <c r="HV105" s="131"/>
      <c r="HW105" s="131"/>
      <c r="HX105" s="131"/>
      <c r="HY105" s="131"/>
      <c r="HZ105" s="131"/>
      <c r="IA105" s="131"/>
      <c r="IB105" s="131"/>
      <c r="IC105" s="131"/>
      <c r="ID105" s="131"/>
      <c r="IE105" s="131"/>
      <c r="IF105" s="131"/>
      <c r="IG105" s="131"/>
      <c r="IH105" s="131"/>
      <c r="II105" s="131"/>
      <c r="IJ105" s="131"/>
      <c r="IK105" s="131"/>
      <c r="IL105" s="131"/>
      <c r="IM105" s="131"/>
      <c r="IN105" s="131"/>
      <c r="IO105" s="131"/>
      <c r="IP105" s="131"/>
      <c r="IQ105" s="131"/>
      <c r="IR105" s="131"/>
      <c r="IS105" s="131"/>
      <c r="IT105" s="131"/>
      <c r="IU105" s="131"/>
      <c r="IV105" s="131"/>
      <c r="IW105" s="131"/>
      <c r="IX105" s="131"/>
      <c r="IY105" s="131"/>
      <c r="IZ105" s="131"/>
      <c r="JA105" s="131"/>
      <c r="JB105" s="131"/>
      <c r="JC105" s="131"/>
      <c r="JD105" s="131"/>
      <c r="JE105" s="131"/>
      <c r="JF105" s="131"/>
      <c r="JG105" s="131"/>
      <c r="JH105" s="131"/>
      <c r="JI105" s="131"/>
      <c r="JJ105" s="131"/>
      <c r="JK105" s="131"/>
      <c r="JL105" s="131"/>
      <c r="JM105" s="131"/>
      <c r="JN105" s="131"/>
      <c r="JO105" s="131"/>
      <c r="JP105" s="131"/>
      <c r="JQ105" s="131"/>
      <c r="JR105" s="131"/>
      <c r="JS105" s="131"/>
      <c r="JT105" s="131"/>
      <c r="JU105" s="131"/>
      <c r="JV105" s="131"/>
      <c r="JW105" s="131"/>
      <c r="JX105" s="131"/>
      <c r="JY105" s="131"/>
      <c r="JZ105" s="131"/>
      <c r="KA105" s="131"/>
      <c r="KB105" s="131"/>
      <c r="KC105" s="131"/>
      <c r="KD105" s="131"/>
      <c r="KE105" s="131"/>
      <c r="KF105" s="131"/>
      <c r="KG105" s="131"/>
      <c r="KH105" s="131"/>
      <c r="KI105" s="131"/>
      <c r="KJ105" s="131"/>
      <c r="KK105" s="131"/>
      <c r="KL105" s="131"/>
      <c r="KM105" s="131"/>
      <c r="KN105" s="131"/>
      <c r="KO105" s="131"/>
      <c r="KP105" s="131"/>
      <c r="KQ105" s="131"/>
      <c r="KR105" s="131"/>
      <c r="KS105" s="131"/>
      <c r="KT105" s="131"/>
      <c r="KU105" s="131"/>
      <c r="KV105" s="131"/>
      <c r="KW105" s="131"/>
      <c r="KX105" s="131"/>
      <c r="KY105" s="131"/>
      <c r="KZ105" s="131"/>
      <c r="LA105" s="131"/>
      <c r="LB105" s="131"/>
      <c r="LC105" s="131"/>
      <c r="LD105" s="131"/>
      <c r="LE105" s="131"/>
      <c r="LF105" s="131"/>
      <c r="LG105" s="131"/>
      <c r="LH105" s="131"/>
      <c r="LI105" s="131"/>
      <c r="LJ105" s="131"/>
      <c r="LK105" s="131"/>
      <c r="LL105" s="131"/>
      <c r="LM105" s="131"/>
      <c r="LN105" s="131"/>
      <c r="LO105" s="131"/>
      <c r="LP105" s="131"/>
      <c r="LQ105" s="131"/>
      <c r="LR105" s="131"/>
      <c r="LS105" s="131"/>
      <c r="LT105" s="131"/>
      <c r="LU105" s="131"/>
      <c r="LV105" s="131"/>
      <c r="LW105" s="131"/>
      <c r="LX105" s="131"/>
      <c r="LY105" s="131"/>
      <c r="LZ105" s="131"/>
      <c r="MA105" s="131"/>
      <c r="MB105" s="131"/>
      <c r="MC105" s="131"/>
      <c r="MD105" s="131"/>
      <c r="ME105" s="131"/>
      <c r="MF105" s="131"/>
      <c r="MG105" s="131"/>
      <c r="MH105" s="131"/>
      <c r="MI105" s="131"/>
      <c r="MJ105" s="131"/>
      <c r="MK105" s="131"/>
      <c r="ML105" s="131"/>
      <c r="MM105" s="131"/>
      <c r="MN105" s="131"/>
      <c r="MO105" s="131"/>
      <c r="MP105" s="131"/>
      <c r="MQ105" s="131"/>
      <c r="MR105" s="131"/>
      <c r="MS105" s="131"/>
      <c r="MT105" s="131"/>
      <c r="MU105" s="131"/>
      <c r="MV105" s="131"/>
      <c r="MW105" s="131"/>
      <c r="MX105" s="131"/>
      <c r="MY105" s="131"/>
      <c r="MZ105" s="131"/>
      <c r="NA105" s="131"/>
      <c r="NB105" s="131"/>
      <c r="NC105" s="131"/>
      <c r="ND105" s="131"/>
      <c r="NE105" s="131"/>
      <c r="NF105" s="131"/>
      <c r="NG105" s="131"/>
      <c r="NH105" s="131"/>
      <c r="NI105" s="131"/>
      <c r="NJ105" s="131"/>
      <c r="NK105" s="131"/>
      <c r="NL105" s="131"/>
      <c r="NM105" s="131"/>
      <c r="NN105" s="131"/>
      <c r="NO105" s="131"/>
      <c r="NP105" s="131"/>
      <c r="NQ105" s="131"/>
      <c r="NR105" s="131"/>
      <c r="NS105" s="131"/>
      <c r="NT105" s="131"/>
      <c r="NU105" s="131"/>
      <c r="NV105" s="131"/>
      <c r="NW105" s="131"/>
      <c r="NX105" s="131"/>
      <c r="NY105" s="131"/>
      <c r="NZ105" s="131"/>
      <c r="OA105" s="131"/>
      <c r="OB105" s="131"/>
      <c r="OC105" s="131"/>
      <c r="OD105" s="131"/>
      <c r="OE105" s="131"/>
      <c r="OF105" s="131"/>
      <c r="OG105" s="131"/>
      <c r="OH105" s="132"/>
    </row>
    <row r="106" spans="1:398" x14ac:dyDescent="0.35">
      <c r="A106" s="102"/>
      <c r="B106" s="168">
        <f t="shared" si="62"/>
        <v>78</v>
      </c>
      <c r="C106" s="171" t="s">
        <v>903</v>
      </c>
      <c r="D106" s="124" t="s">
        <v>752</v>
      </c>
      <c r="E106" s="124" t="s">
        <v>916</v>
      </c>
      <c r="F106" s="125" t="s">
        <v>907</v>
      </c>
      <c r="G106" s="125" t="s">
        <v>742</v>
      </c>
      <c r="H106" s="125"/>
      <c r="I106" s="129">
        <v>0</v>
      </c>
      <c r="J106" s="129">
        <v>0</v>
      </c>
      <c r="K106" s="129">
        <v>0</v>
      </c>
      <c r="L106" s="129">
        <v>0</v>
      </c>
      <c r="M106" s="129">
        <v>0</v>
      </c>
      <c r="N106" s="129">
        <v>0</v>
      </c>
      <c r="O106" s="130">
        <f t="shared" si="66"/>
        <v>0</v>
      </c>
      <c r="P106" s="129">
        <v>0</v>
      </c>
      <c r="Q106" s="129">
        <v>0</v>
      </c>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c r="AV106" s="131"/>
      <c r="AW106" s="131"/>
      <c r="AX106" s="131"/>
      <c r="AY106" s="131"/>
      <c r="AZ106" s="131"/>
      <c r="BA106" s="131"/>
      <c r="BB106" s="131"/>
      <c r="BC106" s="131"/>
      <c r="BD106" s="131"/>
      <c r="BE106" s="131"/>
      <c r="BF106" s="131"/>
      <c r="BG106" s="131"/>
      <c r="BH106" s="131"/>
      <c r="BI106" s="131"/>
      <c r="BJ106" s="131"/>
      <c r="BK106" s="131"/>
      <c r="BL106" s="131"/>
      <c r="BM106" s="131"/>
      <c r="BN106" s="131"/>
      <c r="BO106" s="131"/>
      <c r="BP106" s="131"/>
      <c r="BQ106" s="131"/>
      <c r="BR106" s="131"/>
      <c r="BS106" s="131"/>
      <c r="BT106" s="131"/>
      <c r="BU106" s="131"/>
      <c r="BV106" s="131"/>
      <c r="BW106" s="131"/>
      <c r="BX106" s="131"/>
      <c r="BY106" s="131"/>
      <c r="BZ106" s="131"/>
      <c r="CA106" s="131"/>
      <c r="CB106" s="131"/>
      <c r="CC106" s="131"/>
      <c r="CD106" s="131"/>
      <c r="CE106" s="131"/>
      <c r="CF106" s="131"/>
      <c r="CG106" s="131"/>
      <c r="CH106" s="131"/>
      <c r="CI106" s="131"/>
      <c r="CJ106" s="131"/>
      <c r="CK106" s="131"/>
      <c r="CL106" s="131"/>
      <c r="CM106" s="131"/>
      <c r="CN106" s="131"/>
      <c r="CO106" s="131"/>
      <c r="CP106" s="131"/>
      <c r="CQ106" s="131"/>
      <c r="CR106" s="131"/>
      <c r="CS106" s="131"/>
      <c r="CT106" s="131"/>
      <c r="CU106" s="131"/>
      <c r="CV106" s="131"/>
      <c r="CW106" s="131"/>
      <c r="CX106" s="131"/>
      <c r="CY106" s="131"/>
      <c r="CZ106" s="131"/>
      <c r="DA106" s="131"/>
      <c r="DB106" s="131"/>
      <c r="DC106" s="131"/>
      <c r="DD106" s="131"/>
      <c r="DE106" s="131"/>
      <c r="DF106" s="131"/>
      <c r="DG106" s="131"/>
      <c r="DH106" s="131"/>
      <c r="DI106" s="131"/>
      <c r="DJ106" s="131"/>
      <c r="DK106" s="131"/>
      <c r="DL106" s="131"/>
      <c r="DM106" s="131"/>
      <c r="DN106" s="131"/>
      <c r="DO106" s="131"/>
      <c r="DP106" s="131"/>
      <c r="DQ106" s="131"/>
      <c r="DR106" s="131"/>
      <c r="DS106" s="131"/>
      <c r="DT106" s="131"/>
      <c r="DU106" s="131"/>
      <c r="DV106" s="131"/>
      <c r="DW106" s="131"/>
      <c r="DX106" s="131"/>
      <c r="DY106" s="131"/>
      <c r="DZ106" s="131"/>
      <c r="EA106" s="131"/>
      <c r="EB106" s="131"/>
      <c r="EC106" s="131"/>
      <c r="ED106" s="131"/>
      <c r="EE106" s="131"/>
      <c r="EF106" s="131"/>
      <c r="EG106" s="131"/>
      <c r="EH106" s="131"/>
      <c r="EI106" s="131"/>
      <c r="EJ106" s="131"/>
      <c r="EK106" s="131"/>
      <c r="EL106" s="131"/>
      <c r="EM106" s="131"/>
      <c r="EN106" s="131"/>
      <c r="EO106" s="131"/>
      <c r="EP106" s="131"/>
      <c r="EQ106" s="131"/>
      <c r="ER106" s="131"/>
      <c r="ES106" s="131"/>
      <c r="ET106" s="131"/>
      <c r="EU106" s="131"/>
      <c r="EV106" s="131"/>
      <c r="EW106" s="131"/>
      <c r="EX106" s="131"/>
      <c r="EY106" s="131"/>
      <c r="EZ106" s="131"/>
      <c r="FA106" s="131"/>
      <c r="FB106" s="131"/>
      <c r="FC106" s="131"/>
      <c r="FD106" s="131"/>
      <c r="FE106" s="131"/>
      <c r="FF106" s="131"/>
      <c r="FG106" s="131"/>
      <c r="FH106" s="131"/>
      <c r="FI106" s="131"/>
      <c r="FJ106" s="131"/>
      <c r="FK106" s="131"/>
      <c r="FL106" s="131"/>
      <c r="FM106" s="131"/>
      <c r="FN106" s="131"/>
      <c r="FO106" s="131"/>
      <c r="FP106" s="131"/>
      <c r="FQ106" s="131"/>
      <c r="FR106" s="131"/>
      <c r="FS106" s="131"/>
      <c r="FT106" s="131"/>
      <c r="FU106" s="131"/>
      <c r="FV106" s="131"/>
      <c r="FW106" s="131"/>
      <c r="FX106" s="131"/>
      <c r="FY106" s="131"/>
      <c r="FZ106" s="131"/>
      <c r="GA106" s="131"/>
      <c r="GB106" s="131"/>
      <c r="GC106" s="131"/>
      <c r="GD106" s="131"/>
      <c r="GE106" s="131"/>
      <c r="GF106" s="131"/>
      <c r="GG106" s="131"/>
      <c r="GH106" s="131"/>
      <c r="GI106" s="131"/>
      <c r="GJ106" s="131"/>
      <c r="GK106" s="131"/>
      <c r="GL106" s="131"/>
      <c r="GM106" s="131"/>
      <c r="GN106" s="131"/>
      <c r="GO106" s="131"/>
      <c r="GP106" s="131"/>
      <c r="GQ106" s="131"/>
      <c r="GR106" s="131"/>
      <c r="GS106" s="131"/>
      <c r="GT106" s="131"/>
      <c r="GU106" s="131"/>
      <c r="GV106" s="131"/>
      <c r="GW106" s="131"/>
      <c r="GX106" s="131"/>
      <c r="GY106" s="131"/>
      <c r="GZ106" s="131"/>
      <c r="HA106" s="131"/>
      <c r="HB106" s="131"/>
      <c r="HC106" s="131"/>
      <c r="HD106" s="131"/>
      <c r="HE106" s="131"/>
      <c r="HF106" s="131"/>
      <c r="HG106" s="131"/>
      <c r="HH106" s="131"/>
      <c r="HI106" s="131"/>
      <c r="HJ106" s="131"/>
      <c r="HK106" s="131"/>
      <c r="HL106" s="131"/>
      <c r="HM106" s="131"/>
      <c r="HN106" s="131"/>
      <c r="HO106" s="131"/>
      <c r="HP106" s="131"/>
      <c r="HQ106" s="131"/>
      <c r="HR106" s="131"/>
      <c r="HS106" s="131"/>
      <c r="HT106" s="131"/>
      <c r="HU106" s="131"/>
      <c r="HV106" s="131"/>
      <c r="HW106" s="131"/>
      <c r="HX106" s="131"/>
      <c r="HY106" s="131"/>
      <c r="HZ106" s="131"/>
      <c r="IA106" s="131"/>
      <c r="IB106" s="131"/>
      <c r="IC106" s="131"/>
      <c r="ID106" s="131"/>
      <c r="IE106" s="131"/>
      <c r="IF106" s="131"/>
      <c r="IG106" s="131"/>
      <c r="IH106" s="131"/>
      <c r="II106" s="131"/>
      <c r="IJ106" s="131"/>
      <c r="IK106" s="131"/>
      <c r="IL106" s="131"/>
      <c r="IM106" s="131"/>
      <c r="IN106" s="131"/>
      <c r="IO106" s="131"/>
      <c r="IP106" s="131"/>
      <c r="IQ106" s="131"/>
      <c r="IR106" s="131"/>
      <c r="IS106" s="131"/>
      <c r="IT106" s="131"/>
      <c r="IU106" s="131"/>
      <c r="IV106" s="131"/>
      <c r="IW106" s="131"/>
      <c r="IX106" s="131"/>
      <c r="IY106" s="131"/>
      <c r="IZ106" s="131"/>
      <c r="JA106" s="131"/>
      <c r="JB106" s="131"/>
      <c r="JC106" s="131"/>
      <c r="JD106" s="131"/>
      <c r="JE106" s="131"/>
      <c r="JF106" s="131"/>
      <c r="JG106" s="131"/>
      <c r="JH106" s="131"/>
      <c r="JI106" s="131"/>
      <c r="JJ106" s="131"/>
      <c r="JK106" s="131"/>
      <c r="JL106" s="131"/>
      <c r="JM106" s="131"/>
      <c r="JN106" s="131"/>
      <c r="JO106" s="131"/>
      <c r="JP106" s="131"/>
      <c r="JQ106" s="131"/>
      <c r="JR106" s="131"/>
      <c r="JS106" s="131"/>
      <c r="JT106" s="131"/>
      <c r="JU106" s="131"/>
      <c r="JV106" s="131"/>
      <c r="JW106" s="131"/>
      <c r="JX106" s="131"/>
      <c r="JY106" s="131"/>
      <c r="JZ106" s="131"/>
      <c r="KA106" s="131"/>
      <c r="KB106" s="131"/>
      <c r="KC106" s="131"/>
      <c r="KD106" s="131"/>
      <c r="KE106" s="131"/>
      <c r="KF106" s="131"/>
      <c r="KG106" s="131"/>
      <c r="KH106" s="131"/>
      <c r="KI106" s="131"/>
      <c r="KJ106" s="131"/>
      <c r="KK106" s="131"/>
      <c r="KL106" s="131"/>
      <c r="KM106" s="131"/>
      <c r="KN106" s="131"/>
      <c r="KO106" s="131"/>
      <c r="KP106" s="131"/>
      <c r="KQ106" s="131"/>
      <c r="KR106" s="131"/>
      <c r="KS106" s="131"/>
      <c r="KT106" s="131"/>
      <c r="KU106" s="131"/>
      <c r="KV106" s="131"/>
      <c r="KW106" s="131"/>
      <c r="KX106" s="131"/>
      <c r="KY106" s="131"/>
      <c r="KZ106" s="131"/>
      <c r="LA106" s="131"/>
      <c r="LB106" s="131"/>
      <c r="LC106" s="131"/>
      <c r="LD106" s="131"/>
      <c r="LE106" s="131"/>
      <c r="LF106" s="131"/>
      <c r="LG106" s="131"/>
      <c r="LH106" s="131"/>
      <c r="LI106" s="131"/>
      <c r="LJ106" s="131"/>
      <c r="LK106" s="131"/>
      <c r="LL106" s="131"/>
      <c r="LM106" s="131"/>
      <c r="LN106" s="131"/>
      <c r="LO106" s="131"/>
      <c r="LP106" s="131"/>
      <c r="LQ106" s="131"/>
      <c r="LR106" s="131"/>
      <c r="LS106" s="131"/>
      <c r="LT106" s="131"/>
      <c r="LU106" s="131"/>
      <c r="LV106" s="131"/>
      <c r="LW106" s="131"/>
      <c r="LX106" s="131"/>
      <c r="LY106" s="131"/>
      <c r="LZ106" s="131"/>
      <c r="MA106" s="131"/>
      <c r="MB106" s="131"/>
      <c r="MC106" s="131"/>
      <c r="MD106" s="131"/>
      <c r="ME106" s="131"/>
      <c r="MF106" s="131"/>
      <c r="MG106" s="131"/>
      <c r="MH106" s="131"/>
      <c r="MI106" s="131"/>
      <c r="MJ106" s="131"/>
      <c r="MK106" s="131"/>
      <c r="ML106" s="131"/>
      <c r="MM106" s="131"/>
      <c r="MN106" s="131"/>
      <c r="MO106" s="131"/>
      <c r="MP106" s="131"/>
      <c r="MQ106" s="131"/>
      <c r="MR106" s="131"/>
      <c r="MS106" s="131"/>
      <c r="MT106" s="131"/>
      <c r="MU106" s="131"/>
      <c r="MV106" s="131"/>
      <c r="MW106" s="131"/>
      <c r="MX106" s="131"/>
      <c r="MY106" s="131"/>
      <c r="MZ106" s="131"/>
      <c r="NA106" s="131"/>
      <c r="NB106" s="131"/>
      <c r="NC106" s="131"/>
      <c r="ND106" s="131"/>
      <c r="NE106" s="131"/>
      <c r="NF106" s="131"/>
      <c r="NG106" s="131"/>
      <c r="NH106" s="131"/>
      <c r="NI106" s="131"/>
      <c r="NJ106" s="131"/>
      <c r="NK106" s="131"/>
      <c r="NL106" s="131"/>
      <c r="NM106" s="131"/>
      <c r="NN106" s="131"/>
      <c r="NO106" s="131"/>
      <c r="NP106" s="131"/>
      <c r="NQ106" s="131"/>
      <c r="NR106" s="131"/>
      <c r="NS106" s="131"/>
      <c r="NT106" s="131"/>
      <c r="NU106" s="131"/>
      <c r="NV106" s="131"/>
      <c r="NW106" s="131"/>
      <c r="NX106" s="131"/>
      <c r="NY106" s="131"/>
      <c r="NZ106" s="131"/>
      <c r="OA106" s="131"/>
      <c r="OB106" s="131"/>
      <c r="OC106" s="131"/>
      <c r="OD106" s="131"/>
      <c r="OE106" s="131"/>
      <c r="OF106" s="131"/>
      <c r="OG106" s="131"/>
      <c r="OH106" s="132"/>
    </row>
    <row r="107" spans="1:398" x14ac:dyDescent="0.35">
      <c r="A107" s="102"/>
      <c r="B107" s="168">
        <f t="shared" si="62"/>
        <v>79</v>
      </c>
      <c r="C107" s="171" t="s">
        <v>903</v>
      </c>
      <c r="D107" s="124" t="s">
        <v>752</v>
      </c>
      <c r="E107" s="124" t="s">
        <v>916</v>
      </c>
      <c r="F107" s="125" t="s">
        <v>907</v>
      </c>
      <c r="G107" s="125" t="s">
        <v>743</v>
      </c>
      <c r="H107" s="125"/>
      <c r="I107" s="129">
        <v>0</v>
      </c>
      <c r="J107" s="129">
        <v>0</v>
      </c>
      <c r="K107" s="129">
        <v>0</v>
      </c>
      <c r="L107" s="129">
        <v>0</v>
      </c>
      <c r="M107" s="129">
        <v>0</v>
      </c>
      <c r="N107" s="129">
        <v>0</v>
      </c>
      <c r="O107" s="130">
        <f t="shared" si="66"/>
        <v>0</v>
      </c>
      <c r="P107" s="129">
        <v>0</v>
      </c>
      <c r="Q107" s="129">
        <v>0</v>
      </c>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c r="CR107" s="131"/>
      <c r="CS107" s="131"/>
      <c r="CT107" s="131"/>
      <c r="CU107" s="131"/>
      <c r="CV107" s="131"/>
      <c r="CW107" s="131"/>
      <c r="CX107" s="131"/>
      <c r="CY107" s="131"/>
      <c r="CZ107" s="131"/>
      <c r="DA107" s="131"/>
      <c r="DB107" s="131"/>
      <c r="DC107" s="131"/>
      <c r="DD107" s="131"/>
      <c r="DE107" s="131"/>
      <c r="DF107" s="131"/>
      <c r="DG107" s="131"/>
      <c r="DH107" s="131"/>
      <c r="DI107" s="131"/>
      <c r="DJ107" s="131"/>
      <c r="DK107" s="131"/>
      <c r="DL107" s="131"/>
      <c r="DM107" s="131"/>
      <c r="DN107" s="131"/>
      <c r="DO107" s="131"/>
      <c r="DP107" s="131"/>
      <c r="DQ107" s="131"/>
      <c r="DR107" s="131"/>
      <c r="DS107" s="131"/>
      <c r="DT107" s="131"/>
      <c r="DU107" s="131"/>
      <c r="DV107" s="131"/>
      <c r="DW107" s="131"/>
      <c r="DX107" s="131"/>
      <c r="DY107" s="131"/>
      <c r="DZ107" s="131"/>
      <c r="EA107" s="131"/>
      <c r="EB107" s="131"/>
      <c r="EC107" s="131"/>
      <c r="ED107" s="131"/>
      <c r="EE107" s="131"/>
      <c r="EF107" s="131"/>
      <c r="EG107" s="131"/>
      <c r="EH107" s="131"/>
      <c r="EI107" s="131"/>
      <c r="EJ107" s="131"/>
      <c r="EK107" s="131"/>
      <c r="EL107" s="131"/>
      <c r="EM107" s="131"/>
      <c r="EN107" s="131"/>
      <c r="EO107" s="131"/>
      <c r="EP107" s="131"/>
      <c r="EQ107" s="131"/>
      <c r="ER107" s="131"/>
      <c r="ES107" s="131"/>
      <c r="ET107" s="131"/>
      <c r="EU107" s="131"/>
      <c r="EV107" s="131"/>
      <c r="EW107" s="131"/>
      <c r="EX107" s="131"/>
      <c r="EY107" s="131"/>
      <c r="EZ107" s="131"/>
      <c r="FA107" s="131"/>
      <c r="FB107" s="131"/>
      <c r="FC107" s="131"/>
      <c r="FD107" s="131"/>
      <c r="FE107" s="131"/>
      <c r="FF107" s="131"/>
      <c r="FG107" s="131"/>
      <c r="FH107" s="131"/>
      <c r="FI107" s="131"/>
      <c r="FJ107" s="131"/>
      <c r="FK107" s="131"/>
      <c r="FL107" s="131"/>
      <c r="FM107" s="131"/>
      <c r="FN107" s="131"/>
      <c r="FO107" s="131"/>
      <c r="FP107" s="131"/>
      <c r="FQ107" s="131"/>
      <c r="FR107" s="131"/>
      <c r="FS107" s="131"/>
      <c r="FT107" s="131"/>
      <c r="FU107" s="131"/>
      <c r="FV107" s="131"/>
      <c r="FW107" s="131"/>
      <c r="FX107" s="131"/>
      <c r="FY107" s="131"/>
      <c r="FZ107" s="131"/>
      <c r="GA107" s="131"/>
      <c r="GB107" s="131"/>
      <c r="GC107" s="131"/>
      <c r="GD107" s="131"/>
      <c r="GE107" s="131"/>
      <c r="GF107" s="131"/>
      <c r="GG107" s="131"/>
      <c r="GH107" s="131"/>
      <c r="GI107" s="131"/>
      <c r="GJ107" s="131"/>
      <c r="GK107" s="131"/>
      <c r="GL107" s="131"/>
      <c r="GM107" s="131"/>
      <c r="GN107" s="131"/>
      <c r="GO107" s="131"/>
      <c r="GP107" s="131"/>
      <c r="GQ107" s="131"/>
      <c r="GR107" s="131"/>
      <c r="GS107" s="131"/>
      <c r="GT107" s="131"/>
      <c r="GU107" s="131"/>
      <c r="GV107" s="131"/>
      <c r="GW107" s="131"/>
      <c r="GX107" s="131"/>
      <c r="GY107" s="131"/>
      <c r="GZ107" s="131"/>
      <c r="HA107" s="131"/>
      <c r="HB107" s="131"/>
      <c r="HC107" s="131"/>
      <c r="HD107" s="131"/>
      <c r="HE107" s="131"/>
      <c r="HF107" s="131"/>
      <c r="HG107" s="131"/>
      <c r="HH107" s="131"/>
      <c r="HI107" s="131"/>
      <c r="HJ107" s="131"/>
      <c r="HK107" s="131"/>
      <c r="HL107" s="131"/>
      <c r="HM107" s="131"/>
      <c r="HN107" s="131"/>
      <c r="HO107" s="131"/>
      <c r="HP107" s="131"/>
      <c r="HQ107" s="131"/>
      <c r="HR107" s="131"/>
      <c r="HS107" s="131"/>
      <c r="HT107" s="131"/>
      <c r="HU107" s="131"/>
      <c r="HV107" s="131"/>
      <c r="HW107" s="131"/>
      <c r="HX107" s="131"/>
      <c r="HY107" s="131"/>
      <c r="HZ107" s="131"/>
      <c r="IA107" s="131"/>
      <c r="IB107" s="131"/>
      <c r="IC107" s="131"/>
      <c r="ID107" s="131"/>
      <c r="IE107" s="131"/>
      <c r="IF107" s="131"/>
      <c r="IG107" s="131"/>
      <c r="IH107" s="131"/>
      <c r="II107" s="131"/>
      <c r="IJ107" s="131"/>
      <c r="IK107" s="131"/>
      <c r="IL107" s="131"/>
      <c r="IM107" s="131"/>
      <c r="IN107" s="131"/>
      <c r="IO107" s="131"/>
      <c r="IP107" s="131"/>
      <c r="IQ107" s="131"/>
      <c r="IR107" s="131"/>
      <c r="IS107" s="131"/>
      <c r="IT107" s="131"/>
      <c r="IU107" s="131"/>
      <c r="IV107" s="131"/>
      <c r="IW107" s="131"/>
      <c r="IX107" s="131"/>
      <c r="IY107" s="131"/>
      <c r="IZ107" s="131"/>
      <c r="JA107" s="131"/>
      <c r="JB107" s="131"/>
      <c r="JC107" s="131"/>
      <c r="JD107" s="131"/>
      <c r="JE107" s="131"/>
      <c r="JF107" s="131"/>
      <c r="JG107" s="131"/>
      <c r="JH107" s="131"/>
      <c r="JI107" s="131"/>
      <c r="JJ107" s="131"/>
      <c r="JK107" s="131"/>
      <c r="JL107" s="131"/>
      <c r="JM107" s="131"/>
      <c r="JN107" s="131"/>
      <c r="JO107" s="131"/>
      <c r="JP107" s="131"/>
      <c r="JQ107" s="131"/>
      <c r="JR107" s="131"/>
      <c r="JS107" s="131"/>
      <c r="JT107" s="131"/>
      <c r="JU107" s="131"/>
      <c r="JV107" s="131"/>
      <c r="JW107" s="131"/>
      <c r="JX107" s="131"/>
      <c r="JY107" s="131"/>
      <c r="JZ107" s="131"/>
      <c r="KA107" s="131"/>
      <c r="KB107" s="131"/>
      <c r="KC107" s="131"/>
      <c r="KD107" s="131"/>
      <c r="KE107" s="131"/>
      <c r="KF107" s="131"/>
      <c r="KG107" s="131"/>
      <c r="KH107" s="131"/>
      <c r="KI107" s="131"/>
      <c r="KJ107" s="131"/>
      <c r="KK107" s="131"/>
      <c r="KL107" s="131"/>
      <c r="KM107" s="131"/>
      <c r="KN107" s="131"/>
      <c r="KO107" s="131"/>
      <c r="KP107" s="131"/>
      <c r="KQ107" s="131"/>
      <c r="KR107" s="131"/>
      <c r="KS107" s="131"/>
      <c r="KT107" s="131"/>
      <c r="KU107" s="131"/>
      <c r="KV107" s="131"/>
      <c r="KW107" s="131"/>
      <c r="KX107" s="131"/>
      <c r="KY107" s="131"/>
      <c r="KZ107" s="131"/>
      <c r="LA107" s="131"/>
      <c r="LB107" s="131"/>
      <c r="LC107" s="131"/>
      <c r="LD107" s="131"/>
      <c r="LE107" s="131"/>
      <c r="LF107" s="131"/>
      <c r="LG107" s="131"/>
      <c r="LH107" s="131"/>
      <c r="LI107" s="131"/>
      <c r="LJ107" s="131"/>
      <c r="LK107" s="131"/>
      <c r="LL107" s="131"/>
      <c r="LM107" s="131"/>
      <c r="LN107" s="131"/>
      <c r="LO107" s="131"/>
      <c r="LP107" s="131"/>
      <c r="LQ107" s="131"/>
      <c r="LR107" s="131"/>
      <c r="LS107" s="131"/>
      <c r="LT107" s="131"/>
      <c r="LU107" s="131"/>
      <c r="LV107" s="131"/>
      <c r="LW107" s="131"/>
      <c r="LX107" s="131"/>
      <c r="LY107" s="131"/>
      <c r="LZ107" s="131"/>
      <c r="MA107" s="131"/>
      <c r="MB107" s="131"/>
      <c r="MC107" s="131"/>
      <c r="MD107" s="131"/>
      <c r="ME107" s="131"/>
      <c r="MF107" s="131"/>
      <c r="MG107" s="131"/>
      <c r="MH107" s="131"/>
      <c r="MI107" s="131"/>
      <c r="MJ107" s="131"/>
      <c r="MK107" s="131"/>
      <c r="ML107" s="131"/>
      <c r="MM107" s="131"/>
      <c r="MN107" s="131"/>
      <c r="MO107" s="131"/>
      <c r="MP107" s="131"/>
      <c r="MQ107" s="131"/>
      <c r="MR107" s="131"/>
      <c r="MS107" s="131"/>
      <c r="MT107" s="131"/>
      <c r="MU107" s="131"/>
      <c r="MV107" s="131"/>
      <c r="MW107" s="131"/>
      <c r="MX107" s="131"/>
      <c r="MY107" s="131"/>
      <c r="MZ107" s="131"/>
      <c r="NA107" s="131"/>
      <c r="NB107" s="131"/>
      <c r="NC107" s="131"/>
      <c r="ND107" s="131"/>
      <c r="NE107" s="131"/>
      <c r="NF107" s="131"/>
      <c r="NG107" s="131"/>
      <c r="NH107" s="131"/>
      <c r="NI107" s="131"/>
      <c r="NJ107" s="131"/>
      <c r="NK107" s="131"/>
      <c r="NL107" s="131"/>
      <c r="NM107" s="131"/>
      <c r="NN107" s="131"/>
      <c r="NO107" s="131"/>
      <c r="NP107" s="131"/>
      <c r="NQ107" s="131"/>
      <c r="NR107" s="131"/>
      <c r="NS107" s="131"/>
      <c r="NT107" s="131"/>
      <c r="NU107" s="131"/>
      <c r="NV107" s="131"/>
      <c r="NW107" s="131"/>
      <c r="NX107" s="131"/>
      <c r="NY107" s="131"/>
      <c r="NZ107" s="131"/>
      <c r="OA107" s="131"/>
      <c r="OB107" s="131"/>
      <c r="OC107" s="131"/>
      <c r="OD107" s="131"/>
      <c r="OE107" s="131"/>
      <c r="OF107" s="131"/>
      <c r="OG107" s="131"/>
      <c r="OH107" s="132"/>
    </row>
    <row r="108" spans="1:398" x14ac:dyDescent="0.35">
      <c r="A108" s="102"/>
      <c r="B108" s="168">
        <f t="shared" si="62"/>
        <v>80</v>
      </c>
      <c r="C108" s="171" t="s">
        <v>903</v>
      </c>
      <c r="D108" s="124" t="s">
        <v>752</v>
      </c>
      <c r="E108" s="124" t="s">
        <v>916</v>
      </c>
      <c r="F108" s="125" t="s">
        <v>907</v>
      </c>
      <c r="G108" s="125" t="s">
        <v>202</v>
      </c>
      <c r="H108" s="125"/>
      <c r="I108" s="129">
        <v>0</v>
      </c>
      <c r="J108" s="129">
        <v>0</v>
      </c>
      <c r="K108" s="129">
        <v>0</v>
      </c>
      <c r="L108" s="129">
        <v>0</v>
      </c>
      <c r="M108" s="129">
        <v>0</v>
      </c>
      <c r="N108" s="129">
        <v>0</v>
      </c>
      <c r="O108" s="130">
        <f t="shared" si="66"/>
        <v>0</v>
      </c>
      <c r="P108" s="129">
        <v>0</v>
      </c>
      <c r="Q108" s="129">
        <v>0</v>
      </c>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c r="AV108" s="131"/>
      <c r="AW108" s="131"/>
      <c r="AX108" s="131"/>
      <c r="AY108" s="131"/>
      <c r="AZ108" s="131"/>
      <c r="BA108" s="131"/>
      <c r="BB108" s="131"/>
      <c r="BC108" s="131"/>
      <c r="BD108" s="131"/>
      <c r="BE108" s="131"/>
      <c r="BF108" s="131"/>
      <c r="BG108" s="131"/>
      <c r="BH108" s="131"/>
      <c r="BI108" s="131"/>
      <c r="BJ108" s="131"/>
      <c r="BK108" s="131"/>
      <c r="BL108" s="131"/>
      <c r="BM108" s="131"/>
      <c r="BN108" s="131"/>
      <c r="BO108" s="131"/>
      <c r="BP108" s="131"/>
      <c r="BQ108" s="131"/>
      <c r="BR108" s="131"/>
      <c r="BS108" s="131"/>
      <c r="BT108" s="131"/>
      <c r="BU108" s="131"/>
      <c r="BV108" s="131"/>
      <c r="BW108" s="131"/>
      <c r="BX108" s="131"/>
      <c r="BY108" s="131"/>
      <c r="BZ108" s="131"/>
      <c r="CA108" s="131"/>
      <c r="CB108" s="131"/>
      <c r="CC108" s="131"/>
      <c r="CD108" s="131"/>
      <c r="CE108" s="131"/>
      <c r="CF108" s="131"/>
      <c r="CG108" s="131"/>
      <c r="CH108" s="131"/>
      <c r="CI108" s="131"/>
      <c r="CJ108" s="131"/>
      <c r="CK108" s="131"/>
      <c r="CL108" s="131"/>
      <c r="CM108" s="131"/>
      <c r="CN108" s="131"/>
      <c r="CO108" s="131"/>
      <c r="CP108" s="131"/>
      <c r="CQ108" s="131"/>
      <c r="CR108" s="131"/>
      <c r="CS108" s="131"/>
      <c r="CT108" s="131"/>
      <c r="CU108" s="131"/>
      <c r="CV108" s="131"/>
      <c r="CW108" s="131"/>
      <c r="CX108" s="131"/>
      <c r="CY108" s="131"/>
      <c r="CZ108" s="131"/>
      <c r="DA108" s="131"/>
      <c r="DB108" s="131"/>
      <c r="DC108" s="131"/>
      <c r="DD108" s="131"/>
      <c r="DE108" s="131"/>
      <c r="DF108" s="131"/>
      <c r="DG108" s="131"/>
      <c r="DH108" s="131"/>
      <c r="DI108" s="131"/>
      <c r="DJ108" s="131"/>
      <c r="DK108" s="131"/>
      <c r="DL108" s="131"/>
      <c r="DM108" s="131"/>
      <c r="DN108" s="131"/>
      <c r="DO108" s="131"/>
      <c r="DP108" s="131"/>
      <c r="DQ108" s="131"/>
      <c r="DR108" s="131"/>
      <c r="DS108" s="131"/>
      <c r="DT108" s="131"/>
      <c r="DU108" s="131"/>
      <c r="DV108" s="131"/>
      <c r="DW108" s="131"/>
      <c r="DX108" s="131"/>
      <c r="DY108" s="131"/>
      <c r="DZ108" s="131"/>
      <c r="EA108" s="131"/>
      <c r="EB108" s="131"/>
      <c r="EC108" s="131"/>
      <c r="ED108" s="131"/>
      <c r="EE108" s="131"/>
      <c r="EF108" s="131"/>
      <c r="EG108" s="131"/>
      <c r="EH108" s="131"/>
      <c r="EI108" s="131"/>
      <c r="EJ108" s="131"/>
      <c r="EK108" s="131"/>
      <c r="EL108" s="131"/>
      <c r="EM108" s="131"/>
      <c r="EN108" s="131"/>
      <c r="EO108" s="131"/>
      <c r="EP108" s="131"/>
      <c r="EQ108" s="131"/>
      <c r="ER108" s="131"/>
      <c r="ES108" s="131"/>
      <c r="ET108" s="131"/>
      <c r="EU108" s="131"/>
      <c r="EV108" s="131"/>
      <c r="EW108" s="131"/>
      <c r="EX108" s="131"/>
      <c r="EY108" s="131"/>
      <c r="EZ108" s="131"/>
      <c r="FA108" s="131"/>
      <c r="FB108" s="131"/>
      <c r="FC108" s="131"/>
      <c r="FD108" s="131"/>
      <c r="FE108" s="131"/>
      <c r="FF108" s="131"/>
      <c r="FG108" s="131"/>
      <c r="FH108" s="131"/>
      <c r="FI108" s="131"/>
      <c r="FJ108" s="131"/>
      <c r="FK108" s="131"/>
      <c r="FL108" s="131"/>
      <c r="FM108" s="131"/>
      <c r="FN108" s="131"/>
      <c r="FO108" s="131"/>
      <c r="FP108" s="131"/>
      <c r="FQ108" s="131"/>
      <c r="FR108" s="131"/>
      <c r="FS108" s="131"/>
      <c r="FT108" s="131"/>
      <c r="FU108" s="131"/>
      <c r="FV108" s="131"/>
      <c r="FW108" s="131"/>
      <c r="FX108" s="131"/>
      <c r="FY108" s="131"/>
      <c r="FZ108" s="131"/>
      <c r="GA108" s="131"/>
      <c r="GB108" s="131"/>
      <c r="GC108" s="131"/>
      <c r="GD108" s="131"/>
      <c r="GE108" s="131"/>
      <c r="GF108" s="131"/>
      <c r="GG108" s="131"/>
      <c r="GH108" s="131"/>
      <c r="GI108" s="131"/>
      <c r="GJ108" s="131"/>
      <c r="GK108" s="131"/>
      <c r="GL108" s="131"/>
      <c r="GM108" s="131"/>
      <c r="GN108" s="131"/>
      <c r="GO108" s="131"/>
      <c r="GP108" s="131"/>
      <c r="GQ108" s="131"/>
      <c r="GR108" s="131"/>
      <c r="GS108" s="131"/>
      <c r="GT108" s="131"/>
      <c r="GU108" s="131"/>
      <c r="GV108" s="131"/>
      <c r="GW108" s="131"/>
      <c r="GX108" s="131"/>
      <c r="GY108" s="131"/>
      <c r="GZ108" s="131"/>
      <c r="HA108" s="131"/>
      <c r="HB108" s="131"/>
      <c r="HC108" s="131"/>
      <c r="HD108" s="131"/>
      <c r="HE108" s="131"/>
      <c r="HF108" s="131"/>
      <c r="HG108" s="131"/>
      <c r="HH108" s="131"/>
      <c r="HI108" s="131"/>
      <c r="HJ108" s="131"/>
      <c r="HK108" s="131"/>
      <c r="HL108" s="131"/>
      <c r="HM108" s="131"/>
      <c r="HN108" s="131"/>
      <c r="HO108" s="131"/>
      <c r="HP108" s="131"/>
      <c r="HQ108" s="131"/>
      <c r="HR108" s="131"/>
      <c r="HS108" s="131"/>
      <c r="HT108" s="131"/>
      <c r="HU108" s="131"/>
      <c r="HV108" s="131"/>
      <c r="HW108" s="131"/>
      <c r="HX108" s="131"/>
      <c r="HY108" s="131"/>
      <c r="HZ108" s="131"/>
      <c r="IA108" s="131"/>
      <c r="IB108" s="131"/>
      <c r="IC108" s="131"/>
      <c r="ID108" s="131"/>
      <c r="IE108" s="131"/>
      <c r="IF108" s="131"/>
      <c r="IG108" s="131"/>
      <c r="IH108" s="131"/>
      <c r="II108" s="131"/>
      <c r="IJ108" s="131"/>
      <c r="IK108" s="131"/>
      <c r="IL108" s="131"/>
      <c r="IM108" s="131"/>
      <c r="IN108" s="131"/>
      <c r="IO108" s="131"/>
      <c r="IP108" s="131"/>
      <c r="IQ108" s="131"/>
      <c r="IR108" s="131"/>
      <c r="IS108" s="131"/>
      <c r="IT108" s="131"/>
      <c r="IU108" s="131"/>
      <c r="IV108" s="131"/>
      <c r="IW108" s="131"/>
      <c r="IX108" s="131"/>
      <c r="IY108" s="131"/>
      <c r="IZ108" s="131"/>
      <c r="JA108" s="131"/>
      <c r="JB108" s="131"/>
      <c r="JC108" s="131"/>
      <c r="JD108" s="131"/>
      <c r="JE108" s="131"/>
      <c r="JF108" s="131"/>
      <c r="JG108" s="131"/>
      <c r="JH108" s="131"/>
      <c r="JI108" s="131"/>
      <c r="JJ108" s="131"/>
      <c r="JK108" s="131"/>
      <c r="JL108" s="131"/>
      <c r="JM108" s="131"/>
      <c r="JN108" s="131"/>
      <c r="JO108" s="131"/>
      <c r="JP108" s="131"/>
      <c r="JQ108" s="131"/>
      <c r="JR108" s="131"/>
      <c r="JS108" s="131"/>
      <c r="JT108" s="131"/>
      <c r="JU108" s="131"/>
      <c r="JV108" s="131"/>
      <c r="JW108" s="131"/>
      <c r="JX108" s="131"/>
      <c r="JY108" s="131"/>
      <c r="JZ108" s="131"/>
      <c r="KA108" s="131"/>
      <c r="KB108" s="131"/>
      <c r="KC108" s="131"/>
      <c r="KD108" s="131"/>
      <c r="KE108" s="131"/>
      <c r="KF108" s="131"/>
      <c r="KG108" s="131"/>
      <c r="KH108" s="131"/>
      <c r="KI108" s="131"/>
      <c r="KJ108" s="131"/>
      <c r="KK108" s="131"/>
      <c r="KL108" s="131"/>
      <c r="KM108" s="131"/>
      <c r="KN108" s="131"/>
      <c r="KO108" s="131"/>
      <c r="KP108" s="131"/>
      <c r="KQ108" s="131"/>
      <c r="KR108" s="131"/>
      <c r="KS108" s="131"/>
      <c r="KT108" s="131"/>
      <c r="KU108" s="131"/>
      <c r="KV108" s="131"/>
      <c r="KW108" s="131"/>
      <c r="KX108" s="131"/>
      <c r="KY108" s="131"/>
      <c r="KZ108" s="131"/>
      <c r="LA108" s="131"/>
      <c r="LB108" s="131"/>
      <c r="LC108" s="131"/>
      <c r="LD108" s="131"/>
      <c r="LE108" s="131"/>
      <c r="LF108" s="131"/>
      <c r="LG108" s="131"/>
      <c r="LH108" s="131"/>
      <c r="LI108" s="131"/>
      <c r="LJ108" s="131"/>
      <c r="LK108" s="131"/>
      <c r="LL108" s="131"/>
      <c r="LM108" s="131"/>
      <c r="LN108" s="131"/>
      <c r="LO108" s="131"/>
      <c r="LP108" s="131"/>
      <c r="LQ108" s="131"/>
      <c r="LR108" s="131"/>
      <c r="LS108" s="131"/>
      <c r="LT108" s="131"/>
      <c r="LU108" s="131"/>
      <c r="LV108" s="131"/>
      <c r="LW108" s="131"/>
      <c r="LX108" s="131"/>
      <c r="LY108" s="131"/>
      <c r="LZ108" s="131"/>
      <c r="MA108" s="131"/>
      <c r="MB108" s="131"/>
      <c r="MC108" s="131"/>
      <c r="MD108" s="131"/>
      <c r="ME108" s="131"/>
      <c r="MF108" s="131"/>
      <c r="MG108" s="131"/>
      <c r="MH108" s="131"/>
      <c r="MI108" s="131"/>
      <c r="MJ108" s="131"/>
      <c r="MK108" s="131"/>
      <c r="ML108" s="131"/>
      <c r="MM108" s="131"/>
      <c r="MN108" s="131"/>
      <c r="MO108" s="131"/>
      <c r="MP108" s="131"/>
      <c r="MQ108" s="131"/>
      <c r="MR108" s="131"/>
      <c r="MS108" s="131"/>
      <c r="MT108" s="131"/>
      <c r="MU108" s="131"/>
      <c r="MV108" s="131"/>
      <c r="MW108" s="131"/>
      <c r="MX108" s="131"/>
      <c r="MY108" s="131"/>
      <c r="MZ108" s="131"/>
      <c r="NA108" s="131"/>
      <c r="NB108" s="131"/>
      <c r="NC108" s="131"/>
      <c r="ND108" s="131"/>
      <c r="NE108" s="131"/>
      <c r="NF108" s="131"/>
      <c r="NG108" s="131"/>
      <c r="NH108" s="131"/>
      <c r="NI108" s="131"/>
      <c r="NJ108" s="131"/>
      <c r="NK108" s="131"/>
      <c r="NL108" s="131"/>
      <c r="NM108" s="131"/>
      <c r="NN108" s="131"/>
      <c r="NO108" s="131"/>
      <c r="NP108" s="131"/>
      <c r="NQ108" s="131"/>
      <c r="NR108" s="131"/>
      <c r="NS108" s="131"/>
      <c r="NT108" s="131"/>
      <c r="NU108" s="131"/>
      <c r="NV108" s="131"/>
      <c r="NW108" s="131"/>
      <c r="NX108" s="131"/>
      <c r="NY108" s="131"/>
      <c r="NZ108" s="131"/>
      <c r="OA108" s="131"/>
      <c r="OB108" s="131"/>
      <c r="OC108" s="131"/>
      <c r="OD108" s="131"/>
      <c r="OE108" s="131"/>
      <c r="OF108" s="131"/>
      <c r="OG108" s="131"/>
      <c r="OH108" s="132"/>
    </row>
    <row r="109" spans="1:398" x14ac:dyDescent="0.35">
      <c r="A109" s="102"/>
      <c r="B109" s="168">
        <f t="shared" si="62"/>
        <v>81</v>
      </c>
      <c r="C109" s="171" t="s">
        <v>903</v>
      </c>
      <c r="D109" s="124" t="s">
        <v>752</v>
      </c>
      <c r="E109" s="124" t="s">
        <v>916</v>
      </c>
      <c r="F109" s="125" t="s">
        <v>907</v>
      </c>
      <c r="G109" s="125" t="s">
        <v>738</v>
      </c>
      <c r="H109" s="125"/>
      <c r="I109" s="144">
        <f t="shared" ref="I109:P109" si="67">SUM(I103:I108)</f>
        <v>0</v>
      </c>
      <c r="J109" s="144">
        <f t="shared" si="67"/>
        <v>0</v>
      </c>
      <c r="K109" s="145">
        <f t="shared" si="67"/>
        <v>0</v>
      </c>
      <c r="L109" s="145">
        <f t="shared" si="67"/>
        <v>0</v>
      </c>
      <c r="M109" s="145">
        <f t="shared" si="67"/>
        <v>0</v>
      </c>
      <c r="N109" s="145">
        <f t="shared" si="67"/>
        <v>0</v>
      </c>
      <c r="O109" s="145">
        <f t="shared" si="67"/>
        <v>0</v>
      </c>
      <c r="P109" s="145">
        <f t="shared" si="67"/>
        <v>0</v>
      </c>
      <c r="Q109" s="145">
        <f>SUM(Q103:Q108)</f>
        <v>0</v>
      </c>
      <c r="R109" s="146"/>
      <c r="S109" s="146"/>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c r="AV109" s="131"/>
      <c r="AW109" s="131"/>
      <c r="AX109" s="131"/>
      <c r="AY109" s="131"/>
      <c r="AZ109" s="131"/>
      <c r="BA109" s="131"/>
      <c r="BB109" s="131"/>
      <c r="BC109" s="131"/>
      <c r="BD109" s="131"/>
      <c r="BE109" s="131"/>
      <c r="BF109" s="131"/>
      <c r="BG109" s="131"/>
      <c r="BH109" s="131"/>
      <c r="BI109" s="131"/>
      <c r="BJ109" s="131"/>
      <c r="BK109" s="131"/>
      <c r="BL109" s="131"/>
      <c r="BM109" s="131"/>
      <c r="BN109" s="131"/>
      <c r="BO109" s="131"/>
      <c r="BP109" s="131"/>
      <c r="BQ109" s="131"/>
      <c r="BR109" s="131"/>
      <c r="BS109" s="131"/>
      <c r="BT109" s="131"/>
      <c r="BU109" s="131"/>
      <c r="BV109" s="131"/>
      <c r="BW109" s="131"/>
      <c r="BX109" s="131"/>
      <c r="BY109" s="131"/>
      <c r="BZ109" s="131"/>
      <c r="CA109" s="131"/>
      <c r="CB109" s="131"/>
      <c r="CC109" s="131"/>
      <c r="CD109" s="131"/>
      <c r="CE109" s="131"/>
      <c r="CF109" s="131"/>
      <c r="CG109" s="131"/>
      <c r="CH109" s="131"/>
      <c r="CI109" s="131"/>
      <c r="CJ109" s="131"/>
      <c r="CK109" s="131"/>
      <c r="CL109" s="131"/>
      <c r="CM109" s="131"/>
      <c r="CN109" s="131"/>
      <c r="CO109" s="131"/>
      <c r="CP109" s="131"/>
      <c r="CQ109" s="131"/>
      <c r="CR109" s="131"/>
      <c r="CS109" s="131"/>
      <c r="CT109" s="131"/>
      <c r="CU109" s="131"/>
      <c r="CV109" s="131"/>
      <c r="CW109" s="131"/>
      <c r="CX109" s="131"/>
      <c r="CY109" s="131"/>
      <c r="CZ109" s="131"/>
      <c r="DA109" s="131"/>
      <c r="DB109" s="131"/>
      <c r="DC109" s="131"/>
      <c r="DD109" s="131"/>
      <c r="DE109" s="131"/>
      <c r="DF109" s="131"/>
      <c r="DG109" s="131"/>
      <c r="DH109" s="131"/>
      <c r="DI109" s="131"/>
      <c r="DJ109" s="131"/>
      <c r="DK109" s="131"/>
      <c r="DL109" s="131"/>
      <c r="DM109" s="131"/>
      <c r="DN109" s="131"/>
      <c r="DO109" s="131"/>
      <c r="DP109" s="131"/>
      <c r="DQ109" s="131"/>
      <c r="DR109" s="131"/>
      <c r="DS109" s="131"/>
      <c r="DT109" s="131"/>
      <c r="DU109" s="131"/>
      <c r="DV109" s="131"/>
      <c r="DW109" s="131"/>
      <c r="DX109" s="131"/>
      <c r="DY109" s="131"/>
      <c r="DZ109" s="131"/>
      <c r="EA109" s="131"/>
      <c r="EB109" s="131"/>
      <c r="EC109" s="131"/>
      <c r="ED109" s="131"/>
      <c r="EE109" s="131"/>
      <c r="EF109" s="131"/>
      <c r="EG109" s="131"/>
      <c r="EH109" s="131"/>
      <c r="EI109" s="131"/>
      <c r="EJ109" s="131"/>
      <c r="EK109" s="131"/>
      <c r="EL109" s="131"/>
      <c r="EM109" s="131"/>
      <c r="EN109" s="131"/>
      <c r="EO109" s="131"/>
      <c r="EP109" s="131"/>
      <c r="EQ109" s="131"/>
      <c r="ER109" s="131"/>
      <c r="ES109" s="131"/>
      <c r="ET109" s="131"/>
      <c r="EU109" s="131"/>
      <c r="EV109" s="131"/>
      <c r="EW109" s="131"/>
      <c r="EX109" s="131"/>
      <c r="EY109" s="131"/>
      <c r="EZ109" s="131"/>
      <c r="FA109" s="131"/>
      <c r="FB109" s="131"/>
      <c r="FC109" s="131"/>
      <c r="FD109" s="131"/>
      <c r="FE109" s="131"/>
      <c r="FF109" s="131"/>
      <c r="FG109" s="131"/>
      <c r="FH109" s="131"/>
      <c r="FI109" s="131"/>
      <c r="FJ109" s="131"/>
      <c r="FK109" s="131"/>
      <c r="FL109" s="131"/>
      <c r="FM109" s="131"/>
      <c r="FN109" s="131"/>
      <c r="FO109" s="131"/>
      <c r="FP109" s="131"/>
      <c r="FQ109" s="131"/>
      <c r="FR109" s="131"/>
      <c r="FS109" s="131"/>
      <c r="FT109" s="131"/>
      <c r="FU109" s="131"/>
      <c r="FV109" s="131"/>
      <c r="FW109" s="131"/>
      <c r="FX109" s="131"/>
      <c r="FY109" s="131"/>
      <c r="FZ109" s="131"/>
      <c r="GA109" s="131"/>
      <c r="GB109" s="131"/>
      <c r="GC109" s="131"/>
      <c r="GD109" s="131"/>
      <c r="GE109" s="131"/>
      <c r="GF109" s="131"/>
      <c r="GG109" s="131"/>
      <c r="GH109" s="131"/>
      <c r="GI109" s="131"/>
      <c r="GJ109" s="131"/>
      <c r="GK109" s="131"/>
      <c r="GL109" s="131"/>
      <c r="GM109" s="131"/>
      <c r="GN109" s="131"/>
      <c r="GO109" s="131"/>
      <c r="GP109" s="131"/>
      <c r="GQ109" s="131"/>
      <c r="GR109" s="131"/>
      <c r="GS109" s="131"/>
      <c r="GT109" s="131"/>
      <c r="GU109" s="131"/>
      <c r="GV109" s="131"/>
      <c r="GW109" s="131"/>
      <c r="GX109" s="131"/>
      <c r="GY109" s="131"/>
      <c r="GZ109" s="131"/>
      <c r="HA109" s="131"/>
      <c r="HB109" s="131"/>
      <c r="HC109" s="131"/>
      <c r="HD109" s="131"/>
      <c r="HE109" s="131"/>
      <c r="HF109" s="131"/>
      <c r="HG109" s="131"/>
      <c r="HH109" s="131"/>
      <c r="HI109" s="131"/>
      <c r="HJ109" s="131"/>
      <c r="HK109" s="131"/>
      <c r="HL109" s="131"/>
      <c r="HM109" s="131"/>
      <c r="HN109" s="131"/>
      <c r="HO109" s="131"/>
      <c r="HP109" s="131"/>
      <c r="HQ109" s="131"/>
      <c r="HR109" s="131"/>
      <c r="HS109" s="131"/>
      <c r="HT109" s="131"/>
      <c r="HU109" s="131"/>
      <c r="HV109" s="131"/>
      <c r="HW109" s="131"/>
      <c r="HX109" s="131"/>
      <c r="HY109" s="131"/>
      <c r="HZ109" s="131"/>
      <c r="IA109" s="131"/>
      <c r="IB109" s="131"/>
      <c r="IC109" s="131"/>
      <c r="ID109" s="131"/>
      <c r="IE109" s="131"/>
      <c r="IF109" s="131"/>
      <c r="IG109" s="131"/>
      <c r="IH109" s="131"/>
      <c r="II109" s="131"/>
      <c r="IJ109" s="131"/>
      <c r="IK109" s="131"/>
      <c r="IL109" s="131"/>
      <c r="IM109" s="131"/>
      <c r="IN109" s="131"/>
      <c r="IO109" s="131"/>
      <c r="IP109" s="131"/>
      <c r="IQ109" s="131"/>
      <c r="IR109" s="131"/>
      <c r="IS109" s="131"/>
      <c r="IT109" s="131"/>
      <c r="IU109" s="131"/>
      <c r="IV109" s="131"/>
      <c r="IW109" s="131"/>
      <c r="IX109" s="131"/>
      <c r="IY109" s="131"/>
      <c r="IZ109" s="131"/>
      <c r="JA109" s="131"/>
      <c r="JB109" s="131"/>
      <c r="JC109" s="131"/>
      <c r="JD109" s="131"/>
      <c r="JE109" s="131"/>
      <c r="JF109" s="131"/>
      <c r="JG109" s="131"/>
      <c r="JH109" s="131"/>
      <c r="JI109" s="131"/>
      <c r="JJ109" s="131"/>
      <c r="JK109" s="131"/>
      <c r="JL109" s="131"/>
      <c r="JM109" s="131"/>
      <c r="JN109" s="131"/>
      <c r="JO109" s="131"/>
      <c r="JP109" s="131"/>
      <c r="JQ109" s="131"/>
      <c r="JR109" s="131"/>
      <c r="JS109" s="131"/>
      <c r="JT109" s="131"/>
      <c r="JU109" s="131"/>
      <c r="JV109" s="131"/>
      <c r="JW109" s="131"/>
      <c r="JX109" s="131"/>
      <c r="JY109" s="131"/>
      <c r="JZ109" s="131"/>
      <c r="KA109" s="131"/>
      <c r="KB109" s="131"/>
      <c r="KC109" s="131"/>
      <c r="KD109" s="131"/>
      <c r="KE109" s="131"/>
      <c r="KF109" s="131"/>
      <c r="KG109" s="131"/>
      <c r="KH109" s="131"/>
      <c r="KI109" s="131"/>
      <c r="KJ109" s="131"/>
      <c r="KK109" s="131"/>
      <c r="KL109" s="131"/>
      <c r="KM109" s="131"/>
      <c r="KN109" s="131"/>
      <c r="KO109" s="131"/>
      <c r="KP109" s="131"/>
      <c r="KQ109" s="131"/>
      <c r="KR109" s="131"/>
      <c r="KS109" s="131"/>
      <c r="KT109" s="131"/>
      <c r="KU109" s="131"/>
      <c r="KV109" s="131"/>
      <c r="KW109" s="131"/>
      <c r="KX109" s="131"/>
      <c r="KY109" s="131"/>
      <c r="KZ109" s="131"/>
      <c r="LA109" s="131"/>
      <c r="LB109" s="131"/>
      <c r="LC109" s="131"/>
      <c r="LD109" s="131"/>
      <c r="LE109" s="131"/>
      <c r="LF109" s="131"/>
      <c r="LG109" s="131"/>
      <c r="LH109" s="131"/>
      <c r="LI109" s="131"/>
      <c r="LJ109" s="131"/>
      <c r="LK109" s="131"/>
      <c r="LL109" s="131"/>
      <c r="LM109" s="131"/>
      <c r="LN109" s="131"/>
      <c r="LO109" s="131"/>
      <c r="LP109" s="131"/>
      <c r="LQ109" s="131"/>
      <c r="LR109" s="131"/>
      <c r="LS109" s="131"/>
      <c r="LT109" s="131"/>
      <c r="LU109" s="131"/>
      <c r="LV109" s="131"/>
      <c r="LW109" s="131"/>
      <c r="LX109" s="131"/>
      <c r="LY109" s="131"/>
      <c r="LZ109" s="131"/>
      <c r="MA109" s="131"/>
      <c r="MB109" s="131"/>
      <c r="MC109" s="131"/>
      <c r="MD109" s="131"/>
      <c r="ME109" s="131"/>
      <c r="MF109" s="131"/>
      <c r="MG109" s="131"/>
      <c r="MH109" s="131"/>
      <c r="MI109" s="131"/>
      <c r="MJ109" s="131"/>
      <c r="MK109" s="131"/>
      <c r="ML109" s="131"/>
      <c r="MM109" s="131"/>
      <c r="MN109" s="131"/>
      <c r="MO109" s="131"/>
      <c r="MP109" s="131"/>
      <c r="MQ109" s="131"/>
      <c r="MR109" s="131"/>
      <c r="MS109" s="131"/>
      <c r="MT109" s="131"/>
      <c r="MU109" s="131"/>
      <c r="MV109" s="131"/>
      <c r="MW109" s="131"/>
      <c r="MX109" s="131"/>
      <c r="MY109" s="131"/>
      <c r="MZ109" s="131"/>
      <c r="NA109" s="131"/>
      <c r="NB109" s="131"/>
      <c r="NC109" s="131"/>
      <c r="ND109" s="131"/>
      <c r="NE109" s="131"/>
      <c r="NF109" s="131"/>
      <c r="NG109" s="131"/>
      <c r="NH109" s="131"/>
      <c r="NI109" s="131"/>
      <c r="NJ109" s="131"/>
      <c r="NK109" s="131"/>
      <c r="NL109" s="131"/>
      <c r="NM109" s="131"/>
      <c r="NN109" s="131"/>
      <c r="NO109" s="131"/>
      <c r="NP109" s="131"/>
      <c r="NQ109" s="131"/>
      <c r="NR109" s="131"/>
      <c r="NS109" s="131"/>
      <c r="NT109" s="131"/>
      <c r="NU109" s="131"/>
      <c r="NV109" s="131"/>
      <c r="NW109" s="131"/>
      <c r="NX109" s="131"/>
      <c r="NY109" s="131"/>
      <c r="NZ109" s="131"/>
      <c r="OA109" s="131"/>
      <c r="OB109" s="131"/>
      <c r="OC109" s="131"/>
      <c r="OD109" s="131"/>
      <c r="OE109" s="131"/>
      <c r="OF109" s="131"/>
      <c r="OG109" s="131"/>
      <c r="OH109" s="132"/>
    </row>
    <row r="110" spans="1:398" x14ac:dyDescent="0.35">
      <c r="A110" s="102"/>
      <c r="B110" s="168">
        <f t="shared" si="62"/>
        <v>82</v>
      </c>
      <c r="C110" s="171" t="s">
        <v>903</v>
      </c>
      <c r="D110" s="124" t="s">
        <v>752</v>
      </c>
      <c r="E110" s="124" t="s">
        <v>916</v>
      </c>
      <c r="F110" s="125" t="s">
        <v>738</v>
      </c>
      <c r="G110" s="125" t="s">
        <v>738</v>
      </c>
      <c r="H110" s="125" t="s">
        <v>908</v>
      </c>
      <c r="I110" s="136">
        <f>SUM(I95,I102,I109)</f>
        <v>0</v>
      </c>
      <c r="J110" s="136">
        <f>SUM(J95,J102,J109)</f>
        <v>0</v>
      </c>
      <c r="K110" s="137">
        <f t="shared" ref="K110:Q110" si="68">SUM(K95,K102,K109)</f>
        <v>0</v>
      </c>
      <c r="L110" s="137">
        <f t="shared" si="68"/>
        <v>0</v>
      </c>
      <c r="M110" s="137">
        <f t="shared" si="68"/>
        <v>0</v>
      </c>
      <c r="N110" s="137">
        <f>SUM(N95,N102,N109)</f>
        <v>0</v>
      </c>
      <c r="O110" s="137">
        <f t="shared" si="68"/>
        <v>0</v>
      </c>
      <c r="P110" s="137">
        <f t="shared" si="68"/>
        <v>0</v>
      </c>
      <c r="Q110" s="137">
        <f t="shared" si="68"/>
        <v>0</v>
      </c>
      <c r="R110" s="138"/>
      <c r="S110" s="138"/>
      <c r="T110" s="97">
        <v>0</v>
      </c>
      <c r="U110" s="97">
        <v>0</v>
      </c>
      <c r="V110" s="97">
        <v>0</v>
      </c>
      <c r="W110" s="97">
        <v>0</v>
      </c>
      <c r="X110" s="97">
        <v>0</v>
      </c>
      <c r="Y110" s="97">
        <v>0</v>
      </c>
      <c r="Z110" s="97">
        <v>0</v>
      </c>
      <c r="AA110" s="97">
        <v>0</v>
      </c>
      <c r="AB110" s="97">
        <v>0</v>
      </c>
      <c r="AC110" s="97">
        <v>0</v>
      </c>
      <c r="AD110" s="97">
        <v>0</v>
      </c>
      <c r="AE110" s="97">
        <v>0</v>
      </c>
      <c r="AF110" s="97">
        <v>0</v>
      </c>
      <c r="AG110" s="97">
        <v>0</v>
      </c>
      <c r="AH110" s="97">
        <v>0</v>
      </c>
      <c r="AI110" s="97">
        <v>0</v>
      </c>
      <c r="AJ110" s="97">
        <v>0</v>
      </c>
      <c r="AK110" s="97">
        <v>0</v>
      </c>
      <c r="AL110" s="97">
        <v>0</v>
      </c>
      <c r="AM110" s="97">
        <v>0</v>
      </c>
      <c r="AN110" s="97">
        <v>0</v>
      </c>
      <c r="AO110" s="97">
        <v>0</v>
      </c>
      <c r="AP110" s="97">
        <v>0</v>
      </c>
      <c r="AQ110" s="97">
        <v>0</v>
      </c>
      <c r="AR110" s="97">
        <v>0</v>
      </c>
      <c r="AS110" s="97">
        <v>0</v>
      </c>
      <c r="AT110" s="97">
        <v>0</v>
      </c>
      <c r="AU110" s="97">
        <v>0</v>
      </c>
      <c r="AV110" s="97">
        <v>0</v>
      </c>
      <c r="AW110" s="97">
        <v>0</v>
      </c>
      <c r="AX110" s="97">
        <v>0</v>
      </c>
      <c r="AY110" s="97">
        <v>0</v>
      </c>
      <c r="AZ110" s="97">
        <v>0</v>
      </c>
      <c r="BA110" s="97">
        <v>0</v>
      </c>
      <c r="BB110" s="97">
        <v>0</v>
      </c>
      <c r="BC110" s="97">
        <v>0</v>
      </c>
      <c r="BD110" s="97">
        <v>0</v>
      </c>
      <c r="BE110" s="97">
        <v>0</v>
      </c>
      <c r="BF110" s="97">
        <v>0</v>
      </c>
      <c r="BG110" s="97">
        <v>0</v>
      </c>
      <c r="BH110" s="97">
        <v>0</v>
      </c>
      <c r="BI110" s="97">
        <v>0</v>
      </c>
      <c r="BJ110" s="97">
        <v>0</v>
      </c>
      <c r="BK110" s="97">
        <v>0</v>
      </c>
      <c r="BL110" s="97">
        <v>0</v>
      </c>
      <c r="BM110" s="97">
        <v>0</v>
      </c>
      <c r="BN110" s="97">
        <v>0</v>
      </c>
      <c r="BO110" s="97">
        <v>0</v>
      </c>
      <c r="BP110" s="97">
        <v>0</v>
      </c>
      <c r="BQ110" s="97">
        <v>0</v>
      </c>
      <c r="BR110" s="97">
        <v>0</v>
      </c>
      <c r="BS110" s="97">
        <v>0</v>
      </c>
      <c r="BT110" s="97">
        <v>0</v>
      </c>
      <c r="BU110" s="97">
        <v>0</v>
      </c>
      <c r="BV110" s="97">
        <v>0</v>
      </c>
      <c r="BW110" s="97">
        <v>0</v>
      </c>
      <c r="BX110" s="97">
        <v>0</v>
      </c>
      <c r="BY110" s="97">
        <v>0</v>
      </c>
      <c r="BZ110" s="97">
        <v>0</v>
      </c>
      <c r="CA110" s="97">
        <v>0</v>
      </c>
      <c r="CB110" s="97">
        <v>0</v>
      </c>
      <c r="CC110" s="97">
        <v>0</v>
      </c>
      <c r="CD110" s="97">
        <v>0</v>
      </c>
      <c r="CE110" s="97">
        <v>0</v>
      </c>
      <c r="CF110" s="97">
        <v>0</v>
      </c>
      <c r="CG110" s="97">
        <v>0</v>
      </c>
      <c r="CH110" s="97">
        <v>0</v>
      </c>
      <c r="CI110" s="97">
        <v>0</v>
      </c>
      <c r="CJ110" s="97">
        <v>0</v>
      </c>
      <c r="CK110" s="97">
        <v>0</v>
      </c>
      <c r="CL110" s="97">
        <v>0</v>
      </c>
      <c r="CM110" s="97">
        <v>0</v>
      </c>
      <c r="CN110" s="97">
        <v>0</v>
      </c>
      <c r="CO110" s="97">
        <v>0</v>
      </c>
      <c r="CP110" s="97">
        <v>0</v>
      </c>
      <c r="CQ110" s="97">
        <v>0</v>
      </c>
      <c r="CR110" s="97">
        <v>0</v>
      </c>
      <c r="CS110" s="97">
        <v>0</v>
      </c>
      <c r="CT110" s="97">
        <v>0</v>
      </c>
      <c r="CU110" s="97">
        <v>0</v>
      </c>
      <c r="CV110" s="97">
        <v>0</v>
      </c>
      <c r="CW110" s="97">
        <v>0</v>
      </c>
      <c r="CX110" s="97">
        <v>0</v>
      </c>
      <c r="CY110" s="97">
        <v>0</v>
      </c>
      <c r="CZ110" s="97">
        <v>0</v>
      </c>
      <c r="DA110" s="97">
        <v>0</v>
      </c>
      <c r="DB110" s="97">
        <v>0</v>
      </c>
      <c r="DC110" s="97">
        <v>0</v>
      </c>
      <c r="DD110" s="97">
        <v>0</v>
      </c>
      <c r="DE110" s="97">
        <v>0</v>
      </c>
      <c r="DF110" s="97">
        <v>0</v>
      </c>
      <c r="DG110" s="97">
        <v>0</v>
      </c>
      <c r="DH110" s="97">
        <v>0</v>
      </c>
      <c r="DI110" s="97">
        <v>0</v>
      </c>
      <c r="DJ110" s="97">
        <v>0</v>
      </c>
      <c r="DK110" s="97">
        <v>0</v>
      </c>
      <c r="DL110" s="97">
        <v>0</v>
      </c>
      <c r="DM110" s="97">
        <v>0</v>
      </c>
      <c r="DN110" s="97">
        <v>0</v>
      </c>
      <c r="DO110" s="97">
        <v>0</v>
      </c>
      <c r="DP110" s="97">
        <v>0</v>
      </c>
      <c r="DQ110" s="97">
        <v>0</v>
      </c>
      <c r="DR110" s="97">
        <v>0</v>
      </c>
      <c r="DS110" s="97">
        <v>0</v>
      </c>
      <c r="DT110" s="97">
        <v>0</v>
      </c>
      <c r="DU110" s="97">
        <v>0</v>
      </c>
      <c r="DV110" s="97">
        <v>0</v>
      </c>
      <c r="DW110" s="97">
        <v>0</v>
      </c>
      <c r="DX110" s="97">
        <v>0</v>
      </c>
      <c r="DY110" s="97">
        <v>0</v>
      </c>
      <c r="DZ110" s="97">
        <v>0</v>
      </c>
      <c r="EA110" s="97">
        <v>0</v>
      </c>
      <c r="EB110" s="97">
        <v>0</v>
      </c>
      <c r="EC110" s="97">
        <v>0</v>
      </c>
      <c r="ED110" s="97">
        <v>0</v>
      </c>
      <c r="EE110" s="97">
        <v>0</v>
      </c>
      <c r="EF110" s="97">
        <v>0</v>
      </c>
      <c r="EG110" s="97">
        <v>0</v>
      </c>
      <c r="EH110" s="97">
        <v>0</v>
      </c>
      <c r="EI110" s="97">
        <v>0</v>
      </c>
      <c r="EJ110" s="97">
        <v>0</v>
      </c>
      <c r="EK110" s="97">
        <v>0</v>
      </c>
      <c r="EL110" s="97">
        <v>0</v>
      </c>
      <c r="EM110" s="97">
        <v>0</v>
      </c>
      <c r="EN110" s="97">
        <v>0</v>
      </c>
      <c r="EO110" s="97">
        <v>0</v>
      </c>
      <c r="EP110" s="97">
        <v>0</v>
      </c>
      <c r="EQ110" s="97">
        <v>0</v>
      </c>
      <c r="ER110" s="97">
        <v>0</v>
      </c>
      <c r="ES110" s="97">
        <v>0</v>
      </c>
      <c r="ET110" s="97">
        <v>0</v>
      </c>
      <c r="EU110" s="97">
        <v>0</v>
      </c>
      <c r="EV110" s="97">
        <v>0</v>
      </c>
      <c r="EW110" s="97">
        <v>0</v>
      </c>
      <c r="EX110" s="97">
        <v>0</v>
      </c>
      <c r="EY110" s="97">
        <v>0</v>
      </c>
      <c r="EZ110" s="97">
        <v>0</v>
      </c>
      <c r="FA110" s="97">
        <v>0</v>
      </c>
      <c r="FB110" s="97">
        <v>0</v>
      </c>
      <c r="FC110" s="97">
        <v>0</v>
      </c>
      <c r="FD110" s="97">
        <v>0</v>
      </c>
      <c r="FE110" s="97">
        <v>0</v>
      </c>
      <c r="FF110" s="97">
        <v>0</v>
      </c>
      <c r="FG110" s="97">
        <v>0</v>
      </c>
      <c r="FH110" s="97">
        <v>0</v>
      </c>
      <c r="FI110" s="97">
        <v>0</v>
      </c>
      <c r="FJ110" s="97">
        <v>0</v>
      </c>
      <c r="FK110" s="97">
        <v>0</v>
      </c>
      <c r="FL110" s="97">
        <v>0</v>
      </c>
      <c r="FM110" s="97">
        <v>0</v>
      </c>
      <c r="FN110" s="97">
        <v>0</v>
      </c>
      <c r="FO110" s="97">
        <v>0</v>
      </c>
      <c r="FP110" s="97">
        <v>0</v>
      </c>
      <c r="FQ110" s="97">
        <v>0</v>
      </c>
      <c r="FR110" s="97">
        <v>0</v>
      </c>
      <c r="FS110" s="97">
        <v>0</v>
      </c>
      <c r="FT110" s="97">
        <v>0</v>
      </c>
      <c r="FU110" s="97">
        <v>0</v>
      </c>
      <c r="FV110" s="97">
        <v>0</v>
      </c>
      <c r="FW110" s="97">
        <v>0</v>
      </c>
      <c r="FX110" s="97">
        <v>0</v>
      </c>
      <c r="FY110" s="97">
        <v>0</v>
      </c>
      <c r="FZ110" s="97">
        <v>0</v>
      </c>
      <c r="GA110" s="97">
        <v>0</v>
      </c>
      <c r="GB110" s="97">
        <v>0</v>
      </c>
      <c r="GC110" s="97">
        <v>0</v>
      </c>
      <c r="GD110" s="97">
        <v>0</v>
      </c>
      <c r="GE110" s="97">
        <v>0</v>
      </c>
      <c r="GF110" s="97">
        <v>0</v>
      </c>
      <c r="GG110" s="97">
        <v>0</v>
      </c>
      <c r="GH110" s="97">
        <v>0</v>
      </c>
      <c r="GI110" s="97">
        <v>0</v>
      </c>
      <c r="GJ110" s="97">
        <v>0</v>
      </c>
      <c r="GK110" s="97">
        <v>0</v>
      </c>
      <c r="GL110" s="97">
        <v>0</v>
      </c>
      <c r="GM110" s="97">
        <v>0</v>
      </c>
      <c r="GN110" s="97">
        <v>0</v>
      </c>
      <c r="GO110" s="97">
        <v>0</v>
      </c>
      <c r="GP110" s="97">
        <v>0</v>
      </c>
      <c r="GQ110" s="97">
        <v>0</v>
      </c>
      <c r="GR110" s="97">
        <v>0</v>
      </c>
      <c r="GS110" s="97">
        <v>0</v>
      </c>
      <c r="GT110" s="97">
        <v>0</v>
      </c>
      <c r="GU110" s="97">
        <v>0</v>
      </c>
      <c r="GV110" s="97">
        <v>0</v>
      </c>
      <c r="GW110" s="97">
        <v>0</v>
      </c>
      <c r="GX110" s="97">
        <v>0</v>
      </c>
      <c r="GY110" s="97">
        <v>0</v>
      </c>
      <c r="GZ110" s="97">
        <v>0</v>
      </c>
      <c r="HA110" s="97">
        <v>0</v>
      </c>
      <c r="HB110" s="97">
        <v>0</v>
      </c>
      <c r="HC110" s="97">
        <v>0</v>
      </c>
      <c r="HD110" s="97">
        <v>0</v>
      </c>
      <c r="HE110" s="97">
        <v>0</v>
      </c>
      <c r="HF110" s="97">
        <v>0</v>
      </c>
      <c r="HG110" s="97">
        <v>0</v>
      </c>
      <c r="HH110" s="97">
        <v>0</v>
      </c>
      <c r="HI110" s="97">
        <v>0</v>
      </c>
      <c r="HJ110" s="97">
        <v>0</v>
      </c>
      <c r="HK110" s="97">
        <v>0</v>
      </c>
      <c r="HL110" s="97">
        <v>0</v>
      </c>
      <c r="HM110" s="97">
        <v>0</v>
      </c>
      <c r="HN110" s="97">
        <v>0</v>
      </c>
      <c r="HO110" s="97">
        <v>0</v>
      </c>
      <c r="HP110" s="97">
        <v>0</v>
      </c>
      <c r="HQ110" s="97">
        <v>0</v>
      </c>
      <c r="HR110" s="97">
        <v>0</v>
      </c>
      <c r="HS110" s="97">
        <v>0</v>
      </c>
      <c r="HT110" s="97">
        <v>0</v>
      </c>
      <c r="HU110" s="97">
        <v>0</v>
      </c>
      <c r="HV110" s="97">
        <v>0</v>
      </c>
      <c r="HW110" s="97">
        <v>0</v>
      </c>
      <c r="HX110" s="97">
        <v>0</v>
      </c>
      <c r="HY110" s="97">
        <v>0</v>
      </c>
      <c r="HZ110" s="97">
        <v>0</v>
      </c>
      <c r="IA110" s="97">
        <v>0</v>
      </c>
      <c r="IB110" s="97">
        <v>0</v>
      </c>
      <c r="IC110" s="97">
        <v>0</v>
      </c>
      <c r="ID110" s="97">
        <v>0</v>
      </c>
      <c r="IE110" s="97">
        <v>0</v>
      </c>
      <c r="IF110" s="97">
        <v>0</v>
      </c>
      <c r="IG110" s="97">
        <v>0</v>
      </c>
      <c r="IH110" s="97">
        <v>0</v>
      </c>
      <c r="II110" s="97">
        <v>0</v>
      </c>
      <c r="IJ110" s="97">
        <v>0</v>
      </c>
      <c r="IK110" s="97">
        <v>0</v>
      </c>
      <c r="IL110" s="97">
        <v>0</v>
      </c>
      <c r="IM110" s="97">
        <v>0</v>
      </c>
      <c r="IN110" s="97">
        <v>0</v>
      </c>
      <c r="IO110" s="97">
        <v>0</v>
      </c>
      <c r="IP110" s="97">
        <v>0</v>
      </c>
      <c r="IQ110" s="97">
        <v>0</v>
      </c>
      <c r="IR110" s="97">
        <v>0</v>
      </c>
      <c r="IS110" s="97">
        <v>0</v>
      </c>
      <c r="IT110" s="97">
        <v>0</v>
      </c>
      <c r="IU110" s="97">
        <v>0</v>
      </c>
      <c r="IV110" s="97">
        <v>0</v>
      </c>
      <c r="IW110" s="97">
        <v>0</v>
      </c>
      <c r="IX110" s="97">
        <v>0</v>
      </c>
      <c r="IY110" s="97">
        <v>0</v>
      </c>
      <c r="IZ110" s="97">
        <v>0</v>
      </c>
      <c r="JA110" s="97">
        <v>0</v>
      </c>
      <c r="JB110" s="97">
        <v>0</v>
      </c>
      <c r="JC110" s="97">
        <v>0</v>
      </c>
      <c r="JD110" s="97">
        <v>0</v>
      </c>
      <c r="JE110" s="97">
        <v>0</v>
      </c>
      <c r="JF110" s="97">
        <v>0</v>
      </c>
      <c r="JG110" s="97">
        <v>0</v>
      </c>
      <c r="JH110" s="97">
        <v>0</v>
      </c>
      <c r="JI110" s="97">
        <v>0</v>
      </c>
      <c r="JJ110" s="97">
        <v>0</v>
      </c>
      <c r="JK110" s="97">
        <v>0</v>
      </c>
      <c r="JL110" s="97">
        <v>0</v>
      </c>
      <c r="JM110" s="97">
        <v>0</v>
      </c>
      <c r="JN110" s="97">
        <v>0</v>
      </c>
      <c r="JO110" s="97">
        <v>0</v>
      </c>
      <c r="JP110" s="97">
        <v>0</v>
      </c>
      <c r="JQ110" s="97">
        <v>0</v>
      </c>
      <c r="JR110" s="97">
        <v>0</v>
      </c>
      <c r="JS110" s="97">
        <v>0</v>
      </c>
      <c r="JT110" s="97">
        <v>0</v>
      </c>
      <c r="JU110" s="97">
        <v>0</v>
      </c>
      <c r="JV110" s="97">
        <v>0</v>
      </c>
      <c r="JW110" s="97">
        <v>0</v>
      </c>
      <c r="JX110" s="97">
        <v>0</v>
      </c>
      <c r="JY110" s="97">
        <v>0</v>
      </c>
      <c r="JZ110" s="97">
        <v>0</v>
      </c>
      <c r="KA110" s="97">
        <v>0</v>
      </c>
      <c r="KB110" s="97">
        <v>0</v>
      </c>
      <c r="KC110" s="97">
        <v>0</v>
      </c>
      <c r="KD110" s="97">
        <v>0</v>
      </c>
      <c r="KE110" s="97">
        <v>0</v>
      </c>
      <c r="KF110" s="97">
        <v>0</v>
      </c>
      <c r="KG110" s="97">
        <v>0</v>
      </c>
      <c r="KH110" s="97">
        <v>0</v>
      </c>
      <c r="KI110" s="97">
        <v>0</v>
      </c>
      <c r="KJ110" s="97">
        <v>0</v>
      </c>
      <c r="KK110" s="97">
        <v>0</v>
      </c>
      <c r="KL110" s="97">
        <v>0</v>
      </c>
      <c r="KM110" s="97">
        <v>0</v>
      </c>
      <c r="KN110" s="97">
        <v>0</v>
      </c>
      <c r="KO110" s="97">
        <v>0</v>
      </c>
      <c r="KP110" s="97">
        <v>0</v>
      </c>
      <c r="KQ110" s="97">
        <v>0</v>
      </c>
      <c r="KR110" s="97">
        <v>0</v>
      </c>
      <c r="KS110" s="97">
        <v>0</v>
      </c>
      <c r="KT110" s="97">
        <v>0</v>
      </c>
      <c r="KU110" s="97">
        <v>0</v>
      </c>
      <c r="KV110" s="97">
        <v>0</v>
      </c>
      <c r="KW110" s="97">
        <v>0</v>
      </c>
      <c r="KX110" s="97">
        <v>0</v>
      </c>
      <c r="KY110" s="97">
        <v>0</v>
      </c>
      <c r="KZ110" s="97">
        <v>0</v>
      </c>
      <c r="LA110" s="97">
        <v>0</v>
      </c>
      <c r="LB110" s="97">
        <v>0</v>
      </c>
      <c r="LC110" s="97">
        <v>0</v>
      </c>
      <c r="LD110" s="97">
        <v>0</v>
      </c>
      <c r="LE110" s="97">
        <v>0</v>
      </c>
      <c r="LF110" s="97">
        <v>0</v>
      </c>
      <c r="LG110" s="97">
        <v>0</v>
      </c>
      <c r="LH110" s="97">
        <v>0</v>
      </c>
      <c r="LI110" s="97">
        <v>0</v>
      </c>
      <c r="LJ110" s="97">
        <v>0</v>
      </c>
      <c r="LK110" s="97">
        <v>0</v>
      </c>
      <c r="LL110" s="97">
        <v>0</v>
      </c>
      <c r="LM110" s="97">
        <v>0</v>
      </c>
      <c r="LN110" s="97">
        <v>0</v>
      </c>
      <c r="LO110" s="97">
        <v>0</v>
      </c>
      <c r="LP110" s="97">
        <v>0</v>
      </c>
      <c r="LQ110" s="97">
        <v>0</v>
      </c>
      <c r="LR110" s="97">
        <v>0</v>
      </c>
      <c r="LS110" s="97">
        <v>0</v>
      </c>
      <c r="LT110" s="97">
        <v>0</v>
      </c>
      <c r="LU110" s="97">
        <v>0</v>
      </c>
      <c r="LV110" s="97">
        <v>0</v>
      </c>
      <c r="LW110" s="97">
        <v>0</v>
      </c>
      <c r="LX110" s="97">
        <v>0</v>
      </c>
      <c r="LY110" s="97">
        <v>0</v>
      </c>
      <c r="LZ110" s="97">
        <v>0</v>
      </c>
      <c r="MA110" s="97">
        <v>0</v>
      </c>
      <c r="MB110" s="97">
        <v>0</v>
      </c>
      <c r="MC110" s="97">
        <v>0</v>
      </c>
      <c r="MD110" s="97">
        <v>0</v>
      </c>
      <c r="ME110" s="97">
        <v>0</v>
      </c>
      <c r="MF110" s="97">
        <v>0</v>
      </c>
      <c r="MG110" s="97">
        <v>0</v>
      </c>
      <c r="MH110" s="97">
        <v>0</v>
      </c>
      <c r="MI110" s="97">
        <v>0</v>
      </c>
      <c r="MJ110" s="97">
        <v>0</v>
      </c>
      <c r="MK110" s="97">
        <v>0</v>
      </c>
      <c r="ML110" s="97">
        <v>0</v>
      </c>
      <c r="MM110" s="97">
        <v>0</v>
      </c>
      <c r="MN110" s="97">
        <v>0</v>
      </c>
      <c r="MO110" s="97">
        <v>0</v>
      </c>
      <c r="MP110" s="97">
        <v>0</v>
      </c>
      <c r="MQ110" s="97">
        <v>0</v>
      </c>
      <c r="MR110" s="97">
        <v>0</v>
      </c>
      <c r="MS110" s="97">
        <v>0</v>
      </c>
      <c r="MT110" s="97">
        <v>0</v>
      </c>
      <c r="MU110" s="97">
        <v>0</v>
      </c>
      <c r="MV110" s="97">
        <v>0</v>
      </c>
      <c r="MW110" s="97">
        <v>0</v>
      </c>
      <c r="MX110" s="97">
        <v>0</v>
      </c>
      <c r="MY110" s="97">
        <v>0</v>
      </c>
      <c r="MZ110" s="97">
        <v>0</v>
      </c>
      <c r="NA110" s="97">
        <v>0</v>
      </c>
      <c r="NB110" s="97">
        <v>0</v>
      </c>
      <c r="NC110" s="97">
        <v>0</v>
      </c>
      <c r="ND110" s="97">
        <v>0</v>
      </c>
      <c r="NE110" s="97">
        <v>0</v>
      </c>
      <c r="NF110" s="97">
        <v>0</v>
      </c>
      <c r="NG110" s="97">
        <v>0</v>
      </c>
      <c r="NH110" s="97">
        <v>0</v>
      </c>
      <c r="NI110" s="97">
        <v>0</v>
      </c>
      <c r="NJ110" s="97">
        <v>0</v>
      </c>
      <c r="NK110" s="97">
        <v>0</v>
      </c>
      <c r="NL110" s="97">
        <v>0</v>
      </c>
      <c r="NM110" s="97">
        <v>0</v>
      </c>
      <c r="NN110" s="97">
        <v>0</v>
      </c>
      <c r="NO110" s="97">
        <v>0</v>
      </c>
      <c r="NP110" s="97">
        <v>0</v>
      </c>
      <c r="NQ110" s="97">
        <v>0</v>
      </c>
      <c r="NR110" s="97">
        <v>0</v>
      </c>
      <c r="NS110" s="97">
        <v>0</v>
      </c>
      <c r="NT110" s="97">
        <v>0</v>
      </c>
      <c r="NU110" s="97">
        <v>0</v>
      </c>
      <c r="NV110" s="97">
        <v>0</v>
      </c>
      <c r="NW110" s="97">
        <v>0</v>
      </c>
      <c r="NX110" s="97">
        <v>0</v>
      </c>
      <c r="NY110" s="97">
        <v>0</v>
      </c>
      <c r="NZ110" s="97">
        <v>0</v>
      </c>
      <c r="OA110" s="97">
        <v>0</v>
      </c>
      <c r="OB110" s="97">
        <v>0</v>
      </c>
      <c r="OC110" s="97">
        <v>0</v>
      </c>
      <c r="OD110" s="97">
        <v>0</v>
      </c>
      <c r="OE110" s="97">
        <v>0</v>
      </c>
      <c r="OF110" s="97">
        <v>0</v>
      </c>
      <c r="OG110" s="97">
        <v>0</v>
      </c>
      <c r="OH110" s="97">
        <v>0</v>
      </c>
    </row>
    <row r="111" spans="1:398" x14ac:dyDescent="0.35">
      <c r="A111" s="102"/>
      <c r="B111" s="168">
        <f t="shared" si="62"/>
        <v>83</v>
      </c>
      <c r="C111" s="171" t="s">
        <v>903</v>
      </c>
      <c r="D111" s="124" t="s">
        <v>752</v>
      </c>
      <c r="E111" s="124" t="s">
        <v>909</v>
      </c>
      <c r="F111" s="125" t="s">
        <v>953</v>
      </c>
      <c r="G111" s="125" t="s">
        <v>738</v>
      </c>
      <c r="H111" s="125" t="s">
        <v>910</v>
      </c>
      <c r="I111" s="129">
        <v>0</v>
      </c>
      <c r="J111" s="129">
        <v>0</v>
      </c>
      <c r="K111" s="129">
        <v>0</v>
      </c>
      <c r="L111" s="129">
        <v>0</v>
      </c>
      <c r="M111" s="129">
        <v>0</v>
      </c>
      <c r="N111" s="129">
        <v>0</v>
      </c>
      <c r="O111" s="130">
        <f>SUM(P111,R111)</f>
        <v>0</v>
      </c>
      <c r="P111" s="129">
        <v>0</v>
      </c>
      <c r="Q111" s="129">
        <v>0</v>
      </c>
      <c r="R111" s="165"/>
      <c r="S111" s="165"/>
      <c r="T111" s="129">
        <v>0</v>
      </c>
      <c r="U111" s="129">
        <v>0</v>
      </c>
      <c r="V111" s="129">
        <v>0</v>
      </c>
      <c r="W111" s="129">
        <v>0</v>
      </c>
      <c r="X111" s="129">
        <v>0</v>
      </c>
      <c r="Y111" s="129">
        <v>0</v>
      </c>
      <c r="Z111" s="129">
        <v>0</v>
      </c>
      <c r="AA111" s="129">
        <v>0</v>
      </c>
      <c r="AB111" s="129">
        <v>0</v>
      </c>
      <c r="AC111" s="129">
        <v>0</v>
      </c>
      <c r="AD111" s="129">
        <v>0</v>
      </c>
      <c r="AE111" s="129">
        <v>0</v>
      </c>
      <c r="AF111" s="129">
        <v>0</v>
      </c>
      <c r="AG111" s="129">
        <v>0</v>
      </c>
      <c r="AH111" s="129">
        <v>0</v>
      </c>
      <c r="AI111" s="129">
        <v>0</v>
      </c>
      <c r="AJ111" s="129">
        <v>0</v>
      </c>
      <c r="AK111" s="129">
        <v>0</v>
      </c>
      <c r="AL111" s="129">
        <v>0</v>
      </c>
      <c r="AM111" s="129">
        <v>0</v>
      </c>
      <c r="AN111" s="129">
        <v>0</v>
      </c>
      <c r="AO111" s="129">
        <v>0</v>
      </c>
      <c r="AP111" s="129">
        <v>0</v>
      </c>
      <c r="AQ111" s="129">
        <v>0</v>
      </c>
      <c r="AR111" s="129">
        <v>0</v>
      </c>
      <c r="AS111" s="129">
        <v>0</v>
      </c>
      <c r="AT111" s="129">
        <v>0</v>
      </c>
      <c r="AU111" s="129">
        <v>0</v>
      </c>
      <c r="AV111" s="129">
        <v>0</v>
      </c>
      <c r="AW111" s="129">
        <v>0</v>
      </c>
      <c r="AX111" s="129">
        <v>0</v>
      </c>
      <c r="AY111" s="129">
        <v>0</v>
      </c>
      <c r="AZ111" s="129">
        <v>0</v>
      </c>
      <c r="BA111" s="129">
        <v>0</v>
      </c>
      <c r="BB111" s="129">
        <v>0</v>
      </c>
      <c r="BC111" s="129">
        <v>0</v>
      </c>
      <c r="BD111" s="129">
        <v>0</v>
      </c>
      <c r="BE111" s="129">
        <v>0</v>
      </c>
      <c r="BF111" s="129">
        <v>0</v>
      </c>
      <c r="BG111" s="129">
        <v>0</v>
      </c>
      <c r="BH111" s="129">
        <v>0</v>
      </c>
      <c r="BI111" s="129">
        <v>0</v>
      </c>
      <c r="BJ111" s="129">
        <v>0</v>
      </c>
      <c r="BK111" s="129">
        <v>0</v>
      </c>
      <c r="BL111" s="129">
        <v>0</v>
      </c>
      <c r="BM111" s="129">
        <v>0</v>
      </c>
      <c r="BN111" s="129">
        <v>0</v>
      </c>
      <c r="BO111" s="129">
        <v>0</v>
      </c>
      <c r="BP111" s="129">
        <v>0</v>
      </c>
      <c r="BQ111" s="129">
        <v>0</v>
      </c>
      <c r="BR111" s="129">
        <v>0</v>
      </c>
      <c r="BS111" s="129">
        <v>0</v>
      </c>
      <c r="BT111" s="129">
        <v>0</v>
      </c>
      <c r="BU111" s="129">
        <v>0</v>
      </c>
      <c r="BV111" s="129">
        <v>0</v>
      </c>
      <c r="BW111" s="129">
        <v>0</v>
      </c>
      <c r="BX111" s="129">
        <v>0</v>
      </c>
      <c r="BY111" s="129">
        <v>0</v>
      </c>
      <c r="BZ111" s="129">
        <v>0</v>
      </c>
      <c r="CA111" s="129">
        <v>0</v>
      </c>
      <c r="CB111" s="129">
        <v>0</v>
      </c>
      <c r="CC111" s="129">
        <v>0</v>
      </c>
      <c r="CD111" s="129">
        <v>0</v>
      </c>
      <c r="CE111" s="129">
        <v>0</v>
      </c>
      <c r="CF111" s="129">
        <v>0</v>
      </c>
      <c r="CG111" s="129">
        <v>0</v>
      </c>
      <c r="CH111" s="129">
        <v>0</v>
      </c>
      <c r="CI111" s="129">
        <v>0</v>
      </c>
      <c r="CJ111" s="129">
        <v>0</v>
      </c>
      <c r="CK111" s="129">
        <v>0</v>
      </c>
      <c r="CL111" s="129">
        <v>0</v>
      </c>
      <c r="CM111" s="129">
        <v>0</v>
      </c>
      <c r="CN111" s="129">
        <v>0</v>
      </c>
      <c r="CO111" s="129">
        <v>0</v>
      </c>
      <c r="CP111" s="129">
        <v>0</v>
      </c>
      <c r="CQ111" s="129">
        <v>0</v>
      </c>
      <c r="CR111" s="129">
        <v>0</v>
      </c>
      <c r="CS111" s="129">
        <v>0</v>
      </c>
      <c r="CT111" s="129">
        <v>0</v>
      </c>
      <c r="CU111" s="129">
        <v>0</v>
      </c>
      <c r="CV111" s="129">
        <v>0</v>
      </c>
      <c r="CW111" s="129">
        <v>0</v>
      </c>
      <c r="CX111" s="129">
        <v>0</v>
      </c>
      <c r="CY111" s="129">
        <v>0</v>
      </c>
      <c r="CZ111" s="129">
        <v>0</v>
      </c>
      <c r="DA111" s="129">
        <v>0</v>
      </c>
      <c r="DB111" s="129">
        <v>0</v>
      </c>
      <c r="DC111" s="129">
        <v>0</v>
      </c>
      <c r="DD111" s="129">
        <v>0</v>
      </c>
      <c r="DE111" s="129">
        <v>0</v>
      </c>
      <c r="DF111" s="129">
        <v>0</v>
      </c>
      <c r="DG111" s="129">
        <v>0</v>
      </c>
      <c r="DH111" s="129">
        <v>0</v>
      </c>
      <c r="DI111" s="129">
        <v>0</v>
      </c>
      <c r="DJ111" s="129">
        <v>0</v>
      </c>
      <c r="DK111" s="129">
        <v>0</v>
      </c>
      <c r="DL111" s="129">
        <v>0</v>
      </c>
      <c r="DM111" s="129">
        <v>0</v>
      </c>
      <c r="DN111" s="129">
        <v>0</v>
      </c>
      <c r="DO111" s="129">
        <v>0</v>
      </c>
      <c r="DP111" s="129">
        <v>0</v>
      </c>
      <c r="DQ111" s="129">
        <v>0</v>
      </c>
      <c r="DR111" s="129">
        <v>0</v>
      </c>
      <c r="DS111" s="129">
        <v>0</v>
      </c>
      <c r="DT111" s="129">
        <v>0</v>
      </c>
      <c r="DU111" s="129">
        <v>0</v>
      </c>
      <c r="DV111" s="129">
        <v>0</v>
      </c>
      <c r="DW111" s="129">
        <v>0</v>
      </c>
      <c r="DX111" s="129">
        <v>0</v>
      </c>
      <c r="DY111" s="129">
        <v>0</v>
      </c>
      <c r="DZ111" s="129">
        <v>0</v>
      </c>
      <c r="EA111" s="129">
        <v>0</v>
      </c>
      <c r="EB111" s="129">
        <v>0</v>
      </c>
      <c r="EC111" s="129">
        <v>0</v>
      </c>
      <c r="ED111" s="129">
        <v>0</v>
      </c>
      <c r="EE111" s="129">
        <v>0</v>
      </c>
      <c r="EF111" s="129">
        <v>0</v>
      </c>
      <c r="EG111" s="129">
        <v>0</v>
      </c>
      <c r="EH111" s="129">
        <v>0</v>
      </c>
      <c r="EI111" s="129">
        <v>0</v>
      </c>
      <c r="EJ111" s="129">
        <v>0</v>
      </c>
      <c r="EK111" s="129">
        <v>0</v>
      </c>
      <c r="EL111" s="129">
        <v>0</v>
      </c>
      <c r="EM111" s="129">
        <v>0</v>
      </c>
      <c r="EN111" s="129">
        <v>0</v>
      </c>
      <c r="EO111" s="129">
        <v>0</v>
      </c>
      <c r="EP111" s="129">
        <v>0</v>
      </c>
      <c r="EQ111" s="129">
        <v>0</v>
      </c>
      <c r="ER111" s="129">
        <v>0</v>
      </c>
      <c r="ES111" s="129">
        <v>0</v>
      </c>
      <c r="ET111" s="129">
        <v>0</v>
      </c>
      <c r="EU111" s="129">
        <v>0</v>
      </c>
      <c r="EV111" s="129">
        <v>0</v>
      </c>
      <c r="EW111" s="129">
        <v>0</v>
      </c>
      <c r="EX111" s="129">
        <v>0</v>
      </c>
      <c r="EY111" s="129">
        <v>0</v>
      </c>
      <c r="EZ111" s="129">
        <v>0</v>
      </c>
      <c r="FA111" s="129">
        <v>0</v>
      </c>
      <c r="FB111" s="129">
        <v>0</v>
      </c>
      <c r="FC111" s="129">
        <v>0</v>
      </c>
      <c r="FD111" s="129">
        <v>0</v>
      </c>
      <c r="FE111" s="129">
        <v>0</v>
      </c>
      <c r="FF111" s="129">
        <v>0</v>
      </c>
      <c r="FG111" s="129">
        <v>0</v>
      </c>
      <c r="FH111" s="129">
        <v>0</v>
      </c>
      <c r="FI111" s="129">
        <v>0</v>
      </c>
      <c r="FJ111" s="129">
        <v>0</v>
      </c>
      <c r="FK111" s="129">
        <v>0</v>
      </c>
      <c r="FL111" s="129">
        <v>0</v>
      </c>
      <c r="FM111" s="129">
        <v>0</v>
      </c>
      <c r="FN111" s="129">
        <v>0</v>
      </c>
      <c r="FO111" s="129">
        <v>0</v>
      </c>
      <c r="FP111" s="129">
        <v>0</v>
      </c>
      <c r="FQ111" s="129">
        <v>0</v>
      </c>
      <c r="FR111" s="129">
        <v>0</v>
      </c>
      <c r="FS111" s="129">
        <v>0</v>
      </c>
      <c r="FT111" s="129">
        <v>0</v>
      </c>
      <c r="FU111" s="129">
        <v>0</v>
      </c>
      <c r="FV111" s="129">
        <v>0</v>
      </c>
      <c r="FW111" s="129">
        <v>0</v>
      </c>
      <c r="FX111" s="129">
        <v>0</v>
      </c>
      <c r="FY111" s="129">
        <v>0</v>
      </c>
      <c r="FZ111" s="129">
        <v>0</v>
      </c>
      <c r="GA111" s="129">
        <v>0</v>
      </c>
      <c r="GB111" s="129">
        <v>0</v>
      </c>
      <c r="GC111" s="129">
        <v>0</v>
      </c>
      <c r="GD111" s="129">
        <v>0</v>
      </c>
      <c r="GE111" s="129">
        <v>0</v>
      </c>
      <c r="GF111" s="129">
        <v>0</v>
      </c>
      <c r="GG111" s="129">
        <v>0</v>
      </c>
      <c r="GH111" s="129">
        <v>0</v>
      </c>
      <c r="GI111" s="129">
        <v>0</v>
      </c>
      <c r="GJ111" s="129">
        <v>0</v>
      </c>
      <c r="GK111" s="129">
        <v>0</v>
      </c>
      <c r="GL111" s="129">
        <v>0</v>
      </c>
      <c r="GM111" s="129">
        <v>0</v>
      </c>
      <c r="GN111" s="129">
        <v>0</v>
      </c>
      <c r="GO111" s="129">
        <v>0</v>
      </c>
      <c r="GP111" s="129">
        <v>0</v>
      </c>
      <c r="GQ111" s="129">
        <v>0</v>
      </c>
      <c r="GR111" s="129">
        <v>0</v>
      </c>
      <c r="GS111" s="129">
        <v>0</v>
      </c>
      <c r="GT111" s="129">
        <v>0</v>
      </c>
      <c r="GU111" s="129">
        <v>0</v>
      </c>
      <c r="GV111" s="129">
        <v>0</v>
      </c>
      <c r="GW111" s="129">
        <v>0</v>
      </c>
      <c r="GX111" s="129">
        <v>0</v>
      </c>
      <c r="GY111" s="129">
        <v>0</v>
      </c>
      <c r="GZ111" s="129">
        <v>0</v>
      </c>
      <c r="HA111" s="129">
        <v>0</v>
      </c>
      <c r="HB111" s="129">
        <v>0</v>
      </c>
      <c r="HC111" s="129">
        <v>0</v>
      </c>
      <c r="HD111" s="129">
        <v>0</v>
      </c>
      <c r="HE111" s="129">
        <v>0</v>
      </c>
      <c r="HF111" s="129">
        <v>0</v>
      </c>
      <c r="HG111" s="129">
        <v>0</v>
      </c>
      <c r="HH111" s="129">
        <v>0</v>
      </c>
      <c r="HI111" s="129">
        <v>0</v>
      </c>
      <c r="HJ111" s="129">
        <v>0</v>
      </c>
      <c r="HK111" s="129">
        <v>0</v>
      </c>
      <c r="HL111" s="129">
        <v>0</v>
      </c>
      <c r="HM111" s="129">
        <v>0</v>
      </c>
      <c r="HN111" s="129">
        <v>0</v>
      </c>
      <c r="HO111" s="129">
        <v>0</v>
      </c>
      <c r="HP111" s="129">
        <v>0</v>
      </c>
      <c r="HQ111" s="129">
        <v>0</v>
      </c>
      <c r="HR111" s="129">
        <v>0</v>
      </c>
      <c r="HS111" s="129">
        <v>0</v>
      </c>
      <c r="HT111" s="129">
        <v>0</v>
      </c>
      <c r="HU111" s="129">
        <v>0</v>
      </c>
      <c r="HV111" s="129">
        <v>0</v>
      </c>
      <c r="HW111" s="129">
        <v>0</v>
      </c>
      <c r="HX111" s="129">
        <v>0</v>
      </c>
      <c r="HY111" s="129">
        <v>0</v>
      </c>
      <c r="HZ111" s="129">
        <v>0</v>
      </c>
      <c r="IA111" s="129">
        <v>0</v>
      </c>
      <c r="IB111" s="129">
        <v>0</v>
      </c>
      <c r="IC111" s="129">
        <v>0</v>
      </c>
      <c r="ID111" s="129">
        <v>0</v>
      </c>
      <c r="IE111" s="129">
        <v>0</v>
      </c>
      <c r="IF111" s="129">
        <v>0</v>
      </c>
      <c r="IG111" s="129">
        <v>0</v>
      </c>
      <c r="IH111" s="129">
        <v>0</v>
      </c>
      <c r="II111" s="129">
        <v>0</v>
      </c>
      <c r="IJ111" s="129">
        <v>0</v>
      </c>
      <c r="IK111" s="129">
        <v>0</v>
      </c>
      <c r="IL111" s="129">
        <v>0</v>
      </c>
      <c r="IM111" s="129">
        <v>0</v>
      </c>
      <c r="IN111" s="129">
        <v>0</v>
      </c>
      <c r="IO111" s="129">
        <v>0</v>
      </c>
      <c r="IP111" s="129">
        <v>0</v>
      </c>
      <c r="IQ111" s="129">
        <v>0</v>
      </c>
      <c r="IR111" s="129">
        <v>0</v>
      </c>
      <c r="IS111" s="129">
        <v>0</v>
      </c>
      <c r="IT111" s="129">
        <v>0</v>
      </c>
      <c r="IU111" s="129">
        <v>0</v>
      </c>
      <c r="IV111" s="129">
        <v>0</v>
      </c>
      <c r="IW111" s="129">
        <v>0</v>
      </c>
      <c r="IX111" s="129">
        <v>0</v>
      </c>
      <c r="IY111" s="129">
        <v>0</v>
      </c>
      <c r="IZ111" s="129">
        <v>0</v>
      </c>
      <c r="JA111" s="129">
        <v>0</v>
      </c>
      <c r="JB111" s="129">
        <v>0</v>
      </c>
      <c r="JC111" s="129">
        <v>0</v>
      </c>
      <c r="JD111" s="129">
        <v>0</v>
      </c>
      <c r="JE111" s="129">
        <v>0</v>
      </c>
      <c r="JF111" s="129">
        <v>0</v>
      </c>
      <c r="JG111" s="129">
        <v>0</v>
      </c>
      <c r="JH111" s="129">
        <v>0</v>
      </c>
      <c r="JI111" s="129">
        <v>0</v>
      </c>
      <c r="JJ111" s="129">
        <v>0</v>
      </c>
      <c r="JK111" s="129">
        <v>0</v>
      </c>
      <c r="JL111" s="129">
        <v>0</v>
      </c>
      <c r="JM111" s="129">
        <v>0</v>
      </c>
      <c r="JN111" s="129">
        <v>0</v>
      </c>
      <c r="JO111" s="129">
        <v>0</v>
      </c>
      <c r="JP111" s="129">
        <v>0</v>
      </c>
      <c r="JQ111" s="129">
        <v>0</v>
      </c>
      <c r="JR111" s="129">
        <v>0</v>
      </c>
      <c r="JS111" s="129">
        <v>0</v>
      </c>
      <c r="JT111" s="129">
        <v>0</v>
      </c>
      <c r="JU111" s="129">
        <v>0</v>
      </c>
      <c r="JV111" s="129">
        <v>0</v>
      </c>
      <c r="JW111" s="129">
        <v>0</v>
      </c>
      <c r="JX111" s="129">
        <v>0</v>
      </c>
      <c r="JY111" s="129">
        <v>0</v>
      </c>
      <c r="JZ111" s="129">
        <v>0</v>
      </c>
      <c r="KA111" s="129">
        <v>0</v>
      </c>
      <c r="KB111" s="129">
        <v>0</v>
      </c>
      <c r="KC111" s="129">
        <v>0</v>
      </c>
      <c r="KD111" s="129">
        <v>0</v>
      </c>
      <c r="KE111" s="129">
        <v>0</v>
      </c>
      <c r="KF111" s="129">
        <v>0</v>
      </c>
      <c r="KG111" s="129">
        <v>0</v>
      </c>
      <c r="KH111" s="129">
        <v>0</v>
      </c>
      <c r="KI111" s="129">
        <v>0</v>
      </c>
      <c r="KJ111" s="129">
        <v>0</v>
      </c>
      <c r="KK111" s="129">
        <v>0</v>
      </c>
      <c r="KL111" s="129">
        <v>0</v>
      </c>
      <c r="KM111" s="129">
        <v>0</v>
      </c>
      <c r="KN111" s="129">
        <v>0</v>
      </c>
      <c r="KO111" s="129">
        <v>0</v>
      </c>
      <c r="KP111" s="129">
        <v>0</v>
      </c>
      <c r="KQ111" s="129">
        <v>0</v>
      </c>
      <c r="KR111" s="129">
        <v>0</v>
      </c>
      <c r="KS111" s="129">
        <v>0</v>
      </c>
      <c r="KT111" s="129">
        <v>0</v>
      </c>
      <c r="KU111" s="129">
        <v>0</v>
      </c>
      <c r="KV111" s="129">
        <v>0</v>
      </c>
      <c r="KW111" s="129">
        <v>0</v>
      </c>
      <c r="KX111" s="129">
        <v>0</v>
      </c>
      <c r="KY111" s="129">
        <v>0</v>
      </c>
      <c r="KZ111" s="129">
        <v>0</v>
      </c>
      <c r="LA111" s="129">
        <v>0</v>
      </c>
      <c r="LB111" s="129">
        <v>0</v>
      </c>
      <c r="LC111" s="129">
        <v>0</v>
      </c>
      <c r="LD111" s="129">
        <v>0</v>
      </c>
      <c r="LE111" s="129">
        <v>0</v>
      </c>
      <c r="LF111" s="129">
        <v>0</v>
      </c>
      <c r="LG111" s="129">
        <v>0</v>
      </c>
      <c r="LH111" s="129">
        <v>0</v>
      </c>
      <c r="LI111" s="129">
        <v>0</v>
      </c>
      <c r="LJ111" s="129">
        <v>0</v>
      </c>
      <c r="LK111" s="129">
        <v>0</v>
      </c>
      <c r="LL111" s="129">
        <v>0</v>
      </c>
      <c r="LM111" s="129">
        <v>0</v>
      </c>
      <c r="LN111" s="129">
        <v>0</v>
      </c>
      <c r="LO111" s="129">
        <v>0</v>
      </c>
      <c r="LP111" s="129">
        <v>0</v>
      </c>
      <c r="LQ111" s="129">
        <v>0</v>
      </c>
      <c r="LR111" s="129">
        <v>0</v>
      </c>
      <c r="LS111" s="129">
        <v>0</v>
      </c>
      <c r="LT111" s="129">
        <v>0</v>
      </c>
      <c r="LU111" s="129">
        <v>0</v>
      </c>
      <c r="LV111" s="129">
        <v>0</v>
      </c>
      <c r="LW111" s="129">
        <v>0</v>
      </c>
      <c r="LX111" s="129">
        <v>0</v>
      </c>
      <c r="LY111" s="129">
        <v>0</v>
      </c>
      <c r="LZ111" s="129">
        <v>0</v>
      </c>
      <c r="MA111" s="129">
        <v>0</v>
      </c>
      <c r="MB111" s="129">
        <v>0</v>
      </c>
      <c r="MC111" s="129">
        <v>0</v>
      </c>
      <c r="MD111" s="129">
        <v>0</v>
      </c>
      <c r="ME111" s="129">
        <v>0</v>
      </c>
      <c r="MF111" s="129">
        <v>0</v>
      </c>
      <c r="MG111" s="129">
        <v>0</v>
      </c>
      <c r="MH111" s="129">
        <v>0</v>
      </c>
      <c r="MI111" s="129">
        <v>0</v>
      </c>
      <c r="MJ111" s="129">
        <v>0</v>
      </c>
      <c r="MK111" s="129">
        <v>0</v>
      </c>
      <c r="ML111" s="129">
        <v>0</v>
      </c>
      <c r="MM111" s="129">
        <v>0</v>
      </c>
      <c r="MN111" s="129">
        <v>0</v>
      </c>
      <c r="MO111" s="129">
        <v>0</v>
      </c>
      <c r="MP111" s="129">
        <v>0</v>
      </c>
      <c r="MQ111" s="129">
        <v>0</v>
      </c>
      <c r="MR111" s="129">
        <v>0</v>
      </c>
      <c r="MS111" s="129">
        <v>0</v>
      </c>
      <c r="MT111" s="129">
        <v>0</v>
      </c>
      <c r="MU111" s="129">
        <v>0</v>
      </c>
      <c r="MV111" s="129">
        <v>0</v>
      </c>
      <c r="MW111" s="129">
        <v>0</v>
      </c>
      <c r="MX111" s="129">
        <v>0</v>
      </c>
      <c r="MY111" s="129">
        <v>0</v>
      </c>
      <c r="MZ111" s="129">
        <v>0</v>
      </c>
      <c r="NA111" s="129">
        <v>0</v>
      </c>
      <c r="NB111" s="129">
        <v>0</v>
      </c>
      <c r="NC111" s="129">
        <v>0</v>
      </c>
      <c r="ND111" s="129">
        <v>0</v>
      </c>
      <c r="NE111" s="129">
        <v>0</v>
      </c>
      <c r="NF111" s="129">
        <v>0</v>
      </c>
      <c r="NG111" s="129">
        <v>0</v>
      </c>
      <c r="NH111" s="129">
        <v>0</v>
      </c>
      <c r="NI111" s="129">
        <v>0</v>
      </c>
      <c r="NJ111" s="129">
        <v>0</v>
      </c>
      <c r="NK111" s="129">
        <v>0</v>
      </c>
      <c r="NL111" s="129">
        <v>0</v>
      </c>
      <c r="NM111" s="129">
        <v>0</v>
      </c>
      <c r="NN111" s="129">
        <v>0</v>
      </c>
      <c r="NO111" s="129">
        <v>0</v>
      </c>
      <c r="NP111" s="129">
        <v>0</v>
      </c>
      <c r="NQ111" s="129">
        <v>0</v>
      </c>
      <c r="NR111" s="129">
        <v>0</v>
      </c>
      <c r="NS111" s="129">
        <v>0</v>
      </c>
      <c r="NT111" s="129">
        <v>0</v>
      </c>
      <c r="NU111" s="129">
        <v>0</v>
      </c>
      <c r="NV111" s="129">
        <v>0</v>
      </c>
      <c r="NW111" s="129">
        <v>0</v>
      </c>
      <c r="NX111" s="129">
        <v>0</v>
      </c>
      <c r="NY111" s="129">
        <v>0</v>
      </c>
      <c r="NZ111" s="129">
        <v>0</v>
      </c>
      <c r="OA111" s="129">
        <v>0</v>
      </c>
      <c r="OB111" s="129">
        <v>0</v>
      </c>
      <c r="OC111" s="129">
        <v>0</v>
      </c>
      <c r="OD111" s="129">
        <v>0</v>
      </c>
      <c r="OE111" s="129">
        <v>0</v>
      </c>
      <c r="OF111" s="129">
        <v>0</v>
      </c>
      <c r="OG111" s="129">
        <v>0</v>
      </c>
      <c r="OH111" s="133">
        <v>0</v>
      </c>
    </row>
    <row r="112" spans="1:398" x14ac:dyDescent="0.35">
      <c r="A112" s="102"/>
      <c r="B112" s="168">
        <f t="shared" si="62"/>
        <v>84</v>
      </c>
      <c r="C112" s="171" t="s">
        <v>903</v>
      </c>
      <c r="D112" s="124" t="s">
        <v>752</v>
      </c>
      <c r="E112" s="124" t="s">
        <v>911</v>
      </c>
      <c r="F112" s="125" t="s">
        <v>954</v>
      </c>
      <c r="G112" s="125" t="s">
        <v>738</v>
      </c>
      <c r="H112" s="125" t="s">
        <v>944</v>
      </c>
      <c r="I112" s="129">
        <v>0</v>
      </c>
      <c r="J112" s="129">
        <v>0</v>
      </c>
      <c r="K112" s="129">
        <v>0</v>
      </c>
      <c r="L112" s="129">
        <v>0</v>
      </c>
      <c r="M112" s="129">
        <v>0</v>
      </c>
      <c r="N112" s="129">
        <v>0</v>
      </c>
      <c r="O112" s="130">
        <f>SUM(P112,R112)</f>
        <v>0</v>
      </c>
      <c r="P112" s="129">
        <v>0</v>
      </c>
      <c r="Q112" s="129">
        <v>0</v>
      </c>
      <c r="R112" s="129">
        <v>0</v>
      </c>
      <c r="S112" s="129">
        <v>0</v>
      </c>
      <c r="T112" s="129">
        <v>0</v>
      </c>
      <c r="U112" s="129">
        <v>0</v>
      </c>
      <c r="V112" s="129">
        <v>0</v>
      </c>
      <c r="W112" s="129">
        <v>0</v>
      </c>
      <c r="X112" s="129">
        <v>0</v>
      </c>
      <c r="Y112" s="129">
        <v>0</v>
      </c>
      <c r="Z112" s="129">
        <v>0</v>
      </c>
      <c r="AA112" s="129">
        <v>0</v>
      </c>
      <c r="AB112" s="129">
        <v>0</v>
      </c>
      <c r="AC112" s="129">
        <v>0</v>
      </c>
      <c r="AD112" s="129">
        <v>0</v>
      </c>
      <c r="AE112" s="129">
        <v>0</v>
      </c>
      <c r="AF112" s="129">
        <v>0</v>
      </c>
      <c r="AG112" s="129">
        <v>0</v>
      </c>
      <c r="AH112" s="129">
        <v>0</v>
      </c>
      <c r="AI112" s="129">
        <v>0</v>
      </c>
      <c r="AJ112" s="129">
        <v>0</v>
      </c>
      <c r="AK112" s="129">
        <v>0</v>
      </c>
      <c r="AL112" s="129">
        <v>0</v>
      </c>
      <c r="AM112" s="129">
        <v>0</v>
      </c>
      <c r="AN112" s="129">
        <v>0</v>
      </c>
      <c r="AO112" s="129">
        <v>0</v>
      </c>
      <c r="AP112" s="129">
        <v>0</v>
      </c>
      <c r="AQ112" s="129">
        <v>0</v>
      </c>
      <c r="AR112" s="129">
        <v>0</v>
      </c>
      <c r="AS112" s="129">
        <v>0</v>
      </c>
      <c r="AT112" s="129">
        <v>0</v>
      </c>
      <c r="AU112" s="129">
        <v>0</v>
      </c>
      <c r="AV112" s="129">
        <v>0</v>
      </c>
      <c r="AW112" s="129">
        <v>0</v>
      </c>
      <c r="AX112" s="129">
        <v>0</v>
      </c>
      <c r="AY112" s="129">
        <v>0</v>
      </c>
      <c r="AZ112" s="129">
        <v>0</v>
      </c>
      <c r="BA112" s="129">
        <v>0</v>
      </c>
      <c r="BB112" s="129">
        <v>0</v>
      </c>
      <c r="BC112" s="129">
        <v>0</v>
      </c>
      <c r="BD112" s="129">
        <v>0</v>
      </c>
      <c r="BE112" s="129">
        <v>0</v>
      </c>
      <c r="BF112" s="129">
        <v>0</v>
      </c>
      <c r="BG112" s="129">
        <v>0</v>
      </c>
      <c r="BH112" s="129">
        <v>0</v>
      </c>
      <c r="BI112" s="129">
        <v>0</v>
      </c>
      <c r="BJ112" s="129">
        <v>0</v>
      </c>
      <c r="BK112" s="129">
        <v>0</v>
      </c>
      <c r="BL112" s="129">
        <v>0</v>
      </c>
      <c r="BM112" s="129">
        <v>0</v>
      </c>
      <c r="BN112" s="129">
        <v>0</v>
      </c>
      <c r="BO112" s="129">
        <v>0</v>
      </c>
      <c r="BP112" s="129">
        <v>0</v>
      </c>
      <c r="BQ112" s="129">
        <v>0</v>
      </c>
      <c r="BR112" s="129">
        <v>0</v>
      </c>
      <c r="BS112" s="129">
        <v>0</v>
      </c>
      <c r="BT112" s="129">
        <v>0</v>
      </c>
      <c r="BU112" s="129">
        <v>0</v>
      </c>
      <c r="BV112" s="129">
        <v>0</v>
      </c>
      <c r="BW112" s="129">
        <v>0</v>
      </c>
      <c r="BX112" s="129">
        <v>0</v>
      </c>
      <c r="BY112" s="129">
        <v>0</v>
      </c>
      <c r="BZ112" s="129">
        <v>0</v>
      </c>
      <c r="CA112" s="129">
        <v>0</v>
      </c>
      <c r="CB112" s="129">
        <v>0</v>
      </c>
      <c r="CC112" s="129">
        <v>0</v>
      </c>
      <c r="CD112" s="129">
        <v>0</v>
      </c>
      <c r="CE112" s="129">
        <v>0</v>
      </c>
      <c r="CF112" s="129">
        <v>0</v>
      </c>
      <c r="CG112" s="129">
        <v>0</v>
      </c>
      <c r="CH112" s="129">
        <v>0</v>
      </c>
      <c r="CI112" s="129">
        <v>0</v>
      </c>
      <c r="CJ112" s="129">
        <v>0</v>
      </c>
      <c r="CK112" s="129">
        <v>0</v>
      </c>
      <c r="CL112" s="129">
        <v>0</v>
      </c>
      <c r="CM112" s="129">
        <v>0</v>
      </c>
      <c r="CN112" s="129">
        <v>0</v>
      </c>
      <c r="CO112" s="129">
        <v>0</v>
      </c>
      <c r="CP112" s="129">
        <v>0</v>
      </c>
      <c r="CQ112" s="129">
        <v>0</v>
      </c>
      <c r="CR112" s="129">
        <v>0</v>
      </c>
      <c r="CS112" s="129">
        <v>0</v>
      </c>
      <c r="CT112" s="129">
        <v>0</v>
      </c>
      <c r="CU112" s="129">
        <v>0</v>
      </c>
      <c r="CV112" s="129">
        <v>0</v>
      </c>
      <c r="CW112" s="129">
        <v>0</v>
      </c>
      <c r="CX112" s="129">
        <v>0</v>
      </c>
      <c r="CY112" s="129">
        <v>0</v>
      </c>
      <c r="CZ112" s="129">
        <v>0</v>
      </c>
      <c r="DA112" s="129">
        <v>0</v>
      </c>
      <c r="DB112" s="129">
        <v>0</v>
      </c>
      <c r="DC112" s="129">
        <v>0</v>
      </c>
      <c r="DD112" s="129">
        <v>0</v>
      </c>
      <c r="DE112" s="129">
        <v>0</v>
      </c>
      <c r="DF112" s="129">
        <v>0</v>
      </c>
      <c r="DG112" s="129">
        <v>0</v>
      </c>
      <c r="DH112" s="129">
        <v>0</v>
      </c>
      <c r="DI112" s="129">
        <v>0</v>
      </c>
      <c r="DJ112" s="129">
        <v>0</v>
      </c>
      <c r="DK112" s="129">
        <v>0</v>
      </c>
      <c r="DL112" s="129">
        <v>0</v>
      </c>
      <c r="DM112" s="129">
        <v>0</v>
      </c>
      <c r="DN112" s="129">
        <v>0</v>
      </c>
      <c r="DO112" s="129">
        <v>0</v>
      </c>
      <c r="DP112" s="129">
        <v>0</v>
      </c>
      <c r="DQ112" s="129">
        <v>0</v>
      </c>
      <c r="DR112" s="129">
        <v>0</v>
      </c>
      <c r="DS112" s="129">
        <v>0</v>
      </c>
      <c r="DT112" s="129">
        <v>0</v>
      </c>
      <c r="DU112" s="129">
        <v>0</v>
      </c>
      <c r="DV112" s="129">
        <v>0</v>
      </c>
      <c r="DW112" s="129">
        <v>0</v>
      </c>
      <c r="DX112" s="129">
        <v>0</v>
      </c>
      <c r="DY112" s="129">
        <v>0</v>
      </c>
      <c r="DZ112" s="129">
        <v>0</v>
      </c>
      <c r="EA112" s="129">
        <v>0</v>
      </c>
      <c r="EB112" s="129">
        <v>0</v>
      </c>
      <c r="EC112" s="129">
        <v>0</v>
      </c>
      <c r="ED112" s="129">
        <v>0</v>
      </c>
      <c r="EE112" s="129">
        <v>0</v>
      </c>
      <c r="EF112" s="129">
        <v>0</v>
      </c>
      <c r="EG112" s="129">
        <v>0</v>
      </c>
      <c r="EH112" s="129">
        <v>0</v>
      </c>
      <c r="EI112" s="129">
        <v>0</v>
      </c>
      <c r="EJ112" s="129">
        <v>0</v>
      </c>
      <c r="EK112" s="129">
        <v>0</v>
      </c>
      <c r="EL112" s="129">
        <v>0</v>
      </c>
      <c r="EM112" s="129">
        <v>0</v>
      </c>
      <c r="EN112" s="129">
        <v>0</v>
      </c>
      <c r="EO112" s="129">
        <v>0</v>
      </c>
      <c r="EP112" s="129">
        <v>0</v>
      </c>
      <c r="EQ112" s="129">
        <v>0</v>
      </c>
      <c r="ER112" s="129">
        <v>0</v>
      </c>
      <c r="ES112" s="129">
        <v>0</v>
      </c>
      <c r="ET112" s="129">
        <v>0</v>
      </c>
      <c r="EU112" s="129">
        <v>0</v>
      </c>
      <c r="EV112" s="129">
        <v>0</v>
      </c>
      <c r="EW112" s="129">
        <v>0</v>
      </c>
      <c r="EX112" s="129">
        <v>0</v>
      </c>
      <c r="EY112" s="129">
        <v>0</v>
      </c>
      <c r="EZ112" s="129">
        <v>0</v>
      </c>
      <c r="FA112" s="129">
        <v>0</v>
      </c>
      <c r="FB112" s="129">
        <v>0</v>
      </c>
      <c r="FC112" s="129">
        <v>0</v>
      </c>
      <c r="FD112" s="129">
        <v>0</v>
      </c>
      <c r="FE112" s="129">
        <v>0</v>
      </c>
      <c r="FF112" s="129">
        <v>0</v>
      </c>
      <c r="FG112" s="129">
        <v>0</v>
      </c>
      <c r="FH112" s="129">
        <v>0</v>
      </c>
      <c r="FI112" s="129">
        <v>0</v>
      </c>
      <c r="FJ112" s="129">
        <v>0</v>
      </c>
      <c r="FK112" s="129">
        <v>0</v>
      </c>
      <c r="FL112" s="129">
        <v>0</v>
      </c>
      <c r="FM112" s="129">
        <v>0</v>
      </c>
      <c r="FN112" s="129">
        <v>0</v>
      </c>
      <c r="FO112" s="129">
        <v>0</v>
      </c>
      <c r="FP112" s="129">
        <v>0</v>
      </c>
      <c r="FQ112" s="129">
        <v>0</v>
      </c>
      <c r="FR112" s="129">
        <v>0</v>
      </c>
      <c r="FS112" s="129">
        <v>0</v>
      </c>
      <c r="FT112" s="129">
        <v>0</v>
      </c>
      <c r="FU112" s="129">
        <v>0</v>
      </c>
      <c r="FV112" s="129">
        <v>0</v>
      </c>
      <c r="FW112" s="129">
        <v>0</v>
      </c>
      <c r="FX112" s="129">
        <v>0</v>
      </c>
      <c r="FY112" s="129">
        <v>0</v>
      </c>
      <c r="FZ112" s="129">
        <v>0</v>
      </c>
      <c r="GA112" s="129">
        <v>0</v>
      </c>
      <c r="GB112" s="129">
        <v>0</v>
      </c>
      <c r="GC112" s="129">
        <v>0</v>
      </c>
      <c r="GD112" s="129">
        <v>0</v>
      </c>
      <c r="GE112" s="129">
        <v>0</v>
      </c>
      <c r="GF112" s="129">
        <v>0</v>
      </c>
      <c r="GG112" s="129">
        <v>0</v>
      </c>
      <c r="GH112" s="129">
        <v>0</v>
      </c>
      <c r="GI112" s="129">
        <v>0</v>
      </c>
      <c r="GJ112" s="129">
        <v>0</v>
      </c>
      <c r="GK112" s="129">
        <v>0</v>
      </c>
      <c r="GL112" s="129">
        <v>0</v>
      </c>
      <c r="GM112" s="129">
        <v>0</v>
      </c>
      <c r="GN112" s="129">
        <v>0</v>
      </c>
      <c r="GO112" s="129">
        <v>0</v>
      </c>
      <c r="GP112" s="129">
        <v>0</v>
      </c>
      <c r="GQ112" s="129">
        <v>0</v>
      </c>
      <c r="GR112" s="129">
        <v>0</v>
      </c>
      <c r="GS112" s="129">
        <v>0</v>
      </c>
      <c r="GT112" s="129">
        <v>0</v>
      </c>
      <c r="GU112" s="129">
        <v>0</v>
      </c>
      <c r="GV112" s="129">
        <v>0</v>
      </c>
      <c r="GW112" s="129">
        <v>0</v>
      </c>
      <c r="GX112" s="129">
        <v>0</v>
      </c>
      <c r="GY112" s="129">
        <v>0</v>
      </c>
      <c r="GZ112" s="129">
        <v>0</v>
      </c>
      <c r="HA112" s="129">
        <v>0</v>
      </c>
      <c r="HB112" s="129">
        <v>0</v>
      </c>
      <c r="HC112" s="129">
        <v>0</v>
      </c>
      <c r="HD112" s="129">
        <v>0</v>
      </c>
      <c r="HE112" s="129">
        <v>0</v>
      </c>
      <c r="HF112" s="129">
        <v>0</v>
      </c>
      <c r="HG112" s="129">
        <v>0</v>
      </c>
      <c r="HH112" s="129">
        <v>0</v>
      </c>
      <c r="HI112" s="129">
        <v>0</v>
      </c>
      <c r="HJ112" s="129">
        <v>0</v>
      </c>
      <c r="HK112" s="129">
        <v>0</v>
      </c>
      <c r="HL112" s="129">
        <v>0</v>
      </c>
      <c r="HM112" s="129">
        <v>0</v>
      </c>
      <c r="HN112" s="129">
        <v>0</v>
      </c>
      <c r="HO112" s="129">
        <v>0</v>
      </c>
      <c r="HP112" s="129">
        <v>0</v>
      </c>
      <c r="HQ112" s="129">
        <v>0</v>
      </c>
      <c r="HR112" s="129">
        <v>0</v>
      </c>
      <c r="HS112" s="129">
        <v>0</v>
      </c>
      <c r="HT112" s="129">
        <v>0</v>
      </c>
      <c r="HU112" s="129">
        <v>0</v>
      </c>
      <c r="HV112" s="129">
        <v>0</v>
      </c>
      <c r="HW112" s="129">
        <v>0</v>
      </c>
      <c r="HX112" s="129">
        <v>0</v>
      </c>
      <c r="HY112" s="129">
        <v>0</v>
      </c>
      <c r="HZ112" s="129">
        <v>0</v>
      </c>
      <c r="IA112" s="129">
        <v>0</v>
      </c>
      <c r="IB112" s="129">
        <v>0</v>
      </c>
      <c r="IC112" s="129">
        <v>0</v>
      </c>
      <c r="ID112" s="129">
        <v>0</v>
      </c>
      <c r="IE112" s="129">
        <v>0</v>
      </c>
      <c r="IF112" s="129">
        <v>0</v>
      </c>
      <c r="IG112" s="129">
        <v>0</v>
      </c>
      <c r="IH112" s="129">
        <v>0</v>
      </c>
      <c r="II112" s="129">
        <v>0</v>
      </c>
      <c r="IJ112" s="129">
        <v>0</v>
      </c>
      <c r="IK112" s="129">
        <v>0</v>
      </c>
      <c r="IL112" s="129">
        <v>0</v>
      </c>
      <c r="IM112" s="129">
        <v>0</v>
      </c>
      <c r="IN112" s="129">
        <v>0</v>
      </c>
      <c r="IO112" s="129">
        <v>0</v>
      </c>
      <c r="IP112" s="129">
        <v>0</v>
      </c>
      <c r="IQ112" s="129">
        <v>0</v>
      </c>
      <c r="IR112" s="129">
        <v>0</v>
      </c>
      <c r="IS112" s="129">
        <v>0</v>
      </c>
      <c r="IT112" s="129">
        <v>0</v>
      </c>
      <c r="IU112" s="129">
        <v>0</v>
      </c>
      <c r="IV112" s="129">
        <v>0</v>
      </c>
      <c r="IW112" s="129">
        <v>0</v>
      </c>
      <c r="IX112" s="129">
        <v>0</v>
      </c>
      <c r="IY112" s="129">
        <v>0</v>
      </c>
      <c r="IZ112" s="129">
        <v>0</v>
      </c>
      <c r="JA112" s="129">
        <v>0</v>
      </c>
      <c r="JB112" s="129">
        <v>0</v>
      </c>
      <c r="JC112" s="129">
        <v>0</v>
      </c>
      <c r="JD112" s="129">
        <v>0</v>
      </c>
      <c r="JE112" s="129">
        <v>0</v>
      </c>
      <c r="JF112" s="129">
        <v>0</v>
      </c>
      <c r="JG112" s="129">
        <v>0</v>
      </c>
      <c r="JH112" s="129">
        <v>0</v>
      </c>
      <c r="JI112" s="129">
        <v>0</v>
      </c>
      <c r="JJ112" s="129">
        <v>0</v>
      </c>
      <c r="JK112" s="129">
        <v>0</v>
      </c>
      <c r="JL112" s="129">
        <v>0</v>
      </c>
      <c r="JM112" s="129">
        <v>0</v>
      </c>
      <c r="JN112" s="129">
        <v>0</v>
      </c>
      <c r="JO112" s="129">
        <v>0</v>
      </c>
      <c r="JP112" s="129">
        <v>0</v>
      </c>
      <c r="JQ112" s="129">
        <v>0</v>
      </c>
      <c r="JR112" s="129">
        <v>0</v>
      </c>
      <c r="JS112" s="129">
        <v>0</v>
      </c>
      <c r="JT112" s="129">
        <v>0</v>
      </c>
      <c r="JU112" s="129">
        <v>0</v>
      </c>
      <c r="JV112" s="129">
        <v>0</v>
      </c>
      <c r="JW112" s="129">
        <v>0</v>
      </c>
      <c r="JX112" s="129">
        <v>0</v>
      </c>
      <c r="JY112" s="129">
        <v>0</v>
      </c>
      <c r="JZ112" s="129">
        <v>0</v>
      </c>
      <c r="KA112" s="129">
        <v>0</v>
      </c>
      <c r="KB112" s="129">
        <v>0</v>
      </c>
      <c r="KC112" s="129">
        <v>0</v>
      </c>
      <c r="KD112" s="129">
        <v>0</v>
      </c>
      <c r="KE112" s="129">
        <v>0</v>
      </c>
      <c r="KF112" s="129">
        <v>0</v>
      </c>
      <c r="KG112" s="129">
        <v>0</v>
      </c>
      <c r="KH112" s="129">
        <v>0</v>
      </c>
      <c r="KI112" s="129">
        <v>0</v>
      </c>
      <c r="KJ112" s="129">
        <v>0</v>
      </c>
      <c r="KK112" s="129">
        <v>0</v>
      </c>
      <c r="KL112" s="129">
        <v>0</v>
      </c>
      <c r="KM112" s="129">
        <v>0</v>
      </c>
      <c r="KN112" s="129">
        <v>0</v>
      </c>
      <c r="KO112" s="129">
        <v>0</v>
      </c>
      <c r="KP112" s="129">
        <v>0</v>
      </c>
      <c r="KQ112" s="129">
        <v>0</v>
      </c>
      <c r="KR112" s="129">
        <v>0</v>
      </c>
      <c r="KS112" s="129">
        <v>0</v>
      </c>
      <c r="KT112" s="129">
        <v>0</v>
      </c>
      <c r="KU112" s="129">
        <v>0</v>
      </c>
      <c r="KV112" s="129">
        <v>0</v>
      </c>
      <c r="KW112" s="129">
        <v>0</v>
      </c>
      <c r="KX112" s="129">
        <v>0</v>
      </c>
      <c r="KY112" s="129">
        <v>0</v>
      </c>
      <c r="KZ112" s="129">
        <v>0</v>
      </c>
      <c r="LA112" s="129">
        <v>0</v>
      </c>
      <c r="LB112" s="129">
        <v>0</v>
      </c>
      <c r="LC112" s="129">
        <v>0</v>
      </c>
      <c r="LD112" s="129">
        <v>0</v>
      </c>
      <c r="LE112" s="129">
        <v>0</v>
      </c>
      <c r="LF112" s="129">
        <v>0</v>
      </c>
      <c r="LG112" s="129">
        <v>0</v>
      </c>
      <c r="LH112" s="129">
        <v>0</v>
      </c>
      <c r="LI112" s="129">
        <v>0</v>
      </c>
      <c r="LJ112" s="129">
        <v>0</v>
      </c>
      <c r="LK112" s="129">
        <v>0</v>
      </c>
      <c r="LL112" s="129">
        <v>0</v>
      </c>
      <c r="LM112" s="129">
        <v>0</v>
      </c>
      <c r="LN112" s="129">
        <v>0</v>
      </c>
      <c r="LO112" s="129">
        <v>0</v>
      </c>
      <c r="LP112" s="129">
        <v>0</v>
      </c>
      <c r="LQ112" s="129">
        <v>0</v>
      </c>
      <c r="LR112" s="129">
        <v>0</v>
      </c>
      <c r="LS112" s="129">
        <v>0</v>
      </c>
      <c r="LT112" s="129">
        <v>0</v>
      </c>
      <c r="LU112" s="129">
        <v>0</v>
      </c>
      <c r="LV112" s="129">
        <v>0</v>
      </c>
      <c r="LW112" s="129">
        <v>0</v>
      </c>
      <c r="LX112" s="129">
        <v>0</v>
      </c>
      <c r="LY112" s="129">
        <v>0</v>
      </c>
      <c r="LZ112" s="129">
        <v>0</v>
      </c>
      <c r="MA112" s="129">
        <v>0</v>
      </c>
      <c r="MB112" s="129">
        <v>0</v>
      </c>
      <c r="MC112" s="129">
        <v>0</v>
      </c>
      <c r="MD112" s="129">
        <v>0</v>
      </c>
      <c r="ME112" s="129">
        <v>0</v>
      </c>
      <c r="MF112" s="129">
        <v>0</v>
      </c>
      <c r="MG112" s="129">
        <v>0</v>
      </c>
      <c r="MH112" s="129">
        <v>0</v>
      </c>
      <c r="MI112" s="129">
        <v>0</v>
      </c>
      <c r="MJ112" s="129">
        <v>0</v>
      </c>
      <c r="MK112" s="129">
        <v>0</v>
      </c>
      <c r="ML112" s="129">
        <v>0</v>
      </c>
      <c r="MM112" s="129">
        <v>0</v>
      </c>
      <c r="MN112" s="129">
        <v>0</v>
      </c>
      <c r="MO112" s="129">
        <v>0</v>
      </c>
      <c r="MP112" s="129">
        <v>0</v>
      </c>
      <c r="MQ112" s="129">
        <v>0</v>
      </c>
      <c r="MR112" s="129">
        <v>0</v>
      </c>
      <c r="MS112" s="129">
        <v>0</v>
      </c>
      <c r="MT112" s="129">
        <v>0</v>
      </c>
      <c r="MU112" s="129">
        <v>0</v>
      </c>
      <c r="MV112" s="129">
        <v>0</v>
      </c>
      <c r="MW112" s="129">
        <v>0</v>
      </c>
      <c r="MX112" s="129">
        <v>0</v>
      </c>
      <c r="MY112" s="129">
        <v>0</v>
      </c>
      <c r="MZ112" s="129">
        <v>0</v>
      </c>
      <c r="NA112" s="129">
        <v>0</v>
      </c>
      <c r="NB112" s="129">
        <v>0</v>
      </c>
      <c r="NC112" s="129">
        <v>0</v>
      </c>
      <c r="ND112" s="129">
        <v>0</v>
      </c>
      <c r="NE112" s="129">
        <v>0</v>
      </c>
      <c r="NF112" s="129">
        <v>0</v>
      </c>
      <c r="NG112" s="129">
        <v>0</v>
      </c>
      <c r="NH112" s="129">
        <v>0</v>
      </c>
      <c r="NI112" s="129">
        <v>0</v>
      </c>
      <c r="NJ112" s="129">
        <v>0</v>
      </c>
      <c r="NK112" s="129">
        <v>0</v>
      </c>
      <c r="NL112" s="129">
        <v>0</v>
      </c>
      <c r="NM112" s="129">
        <v>0</v>
      </c>
      <c r="NN112" s="129">
        <v>0</v>
      </c>
      <c r="NO112" s="129">
        <v>0</v>
      </c>
      <c r="NP112" s="129">
        <v>0</v>
      </c>
      <c r="NQ112" s="129">
        <v>0</v>
      </c>
      <c r="NR112" s="129">
        <v>0</v>
      </c>
      <c r="NS112" s="129">
        <v>0</v>
      </c>
      <c r="NT112" s="129">
        <v>0</v>
      </c>
      <c r="NU112" s="129">
        <v>0</v>
      </c>
      <c r="NV112" s="129">
        <v>0</v>
      </c>
      <c r="NW112" s="129">
        <v>0</v>
      </c>
      <c r="NX112" s="129">
        <v>0</v>
      </c>
      <c r="NY112" s="129">
        <v>0</v>
      </c>
      <c r="NZ112" s="129">
        <v>0</v>
      </c>
      <c r="OA112" s="129">
        <v>0</v>
      </c>
      <c r="OB112" s="129">
        <v>0</v>
      </c>
      <c r="OC112" s="129">
        <v>0</v>
      </c>
      <c r="OD112" s="129">
        <v>0</v>
      </c>
      <c r="OE112" s="129">
        <v>0</v>
      </c>
      <c r="OF112" s="129">
        <v>0</v>
      </c>
      <c r="OG112" s="129">
        <v>0</v>
      </c>
      <c r="OH112" s="133">
        <v>0</v>
      </c>
    </row>
    <row r="113" spans="1:398" x14ac:dyDescent="0.35">
      <c r="A113" s="102"/>
      <c r="B113" s="168">
        <f t="shared" si="62"/>
        <v>85</v>
      </c>
      <c r="C113" s="171" t="s">
        <v>903</v>
      </c>
      <c r="D113" s="124" t="s">
        <v>752</v>
      </c>
      <c r="E113" s="124" t="s">
        <v>909</v>
      </c>
      <c r="F113" s="125" t="s">
        <v>955</v>
      </c>
      <c r="G113" s="125" t="s">
        <v>738</v>
      </c>
      <c r="H113" s="125" t="s">
        <v>912</v>
      </c>
      <c r="I113" s="129">
        <v>0</v>
      </c>
      <c r="J113" s="129">
        <v>0</v>
      </c>
      <c r="K113" s="129">
        <v>0</v>
      </c>
      <c r="L113" s="129">
        <v>0</v>
      </c>
      <c r="M113" s="129">
        <v>0</v>
      </c>
      <c r="N113" s="129">
        <v>0</v>
      </c>
      <c r="O113" s="130">
        <f>SUM(P113,R113)</f>
        <v>0</v>
      </c>
      <c r="P113" s="129">
        <v>0</v>
      </c>
      <c r="Q113" s="129">
        <v>0</v>
      </c>
      <c r="R113" s="165"/>
      <c r="S113" s="165"/>
      <c r="T113" s="129">
        <v>0</v>
      </c>
      <c r="U113" s="129">
        <v>0</v>
      </c>
      <c r="V113" s="129">
        <v>0</v>
      </c>
      <c r="W113" s="129">
        <v>0</v>
      </c>
      <c r="X113" s="129">
        <v>0</v>
      </c>
      <c r="Y113" s="129">
        <v>0</v>
      </c>
      <c r="Z113" s="129">
        <v>0</v>
      </c>
      <c r="AA113" s="129">
        <v>0</v>
      </c>
      <c r="AB113" s="129">
        <v>0</v>
      </c>
      <c r="AC113" s="129">
        <v>0</v>
      </c>
      <c r="AD113" s="129">
        <v>0</v>
      </c>
      <c r="AE113" s="129">
        <v>0</v>
      </c>
      <c r="AF113" s="129">
        <v>0</v>
      </c>
      <c r="AG113" s="129">
        <v>0</v>
      </c>
      <c r="AH113" s="129">
        <v>0</v>
      </c>
      <c r="AI113" s="129">
        <v>0</v>
      </c>
      <c r="AJ113" s="129">
        <v>0</v>
      </c>
      <c r="AK113" s="129">
        <v>0</v>
      </c>
      <c r="AL113" s="129">
        <v>0</v>
      </c>
      <c r="AM113" s="129">
        <v>0</v>
      </c>
      <c r="AN113" s="129">
        <v>0</v>
      </c>
      <c r="AO113" s="129">
        <v>0</v>
      </c>
      <c r="AP113" s="129">
        <v>0</v>
      </c>
      <c r="AQ113" s="129">
        <v>0</v>
      </c>
      <c r="AR113" s="129">
        <v>0</v>
      </c>
      <c r="AS113" s="129">
        <v>0</v>
      </c>
      <c r="AT113" s="129">
        <v>0</v>
      </c>
      <c r="AU113" s="129">
        <v>0</v>
      </c>
      <c r="AV113" s="129">
        <v>0</v>
      </c>
      <c r="AW113" s="129">
        <v>0</v>
      </c>
      <c r="AX113" s="129">
        <v>0</v>
      </c>
      <c r="AY113" s="129">
        <v>0</v>
      </c>
      <c r="AZ113" s="129">
        <v>0</v>
      </c>
      <c r="BA113" s="129">
        <v>0</v>
      </c>
      <c r="BB113" s="129">
        <v>0</v>
      </c>
      <c r="BC113" s="129">
        <v>0</v>
      </c>
      <c r="BD113" s="129">
        <v>0</v>
      </c>
      <c r="BE113" s="129">
        <v>0</v>
      </c>
      <c r="BF113" s="129">
        <v>0</v>
      </c>
      <c r="BG113" s="129">
        <v>0</v>
      </c>
      <c r="BH113" s="129">
        <v>0</v>
      </c>
      <c r="BI113" s="129">
        <v>0</v>
      </c>
      <c r="BJ113" s="129">
        <v>0</v>
      </c>
      <c r="BK113" s="129">
        <v>0</v>
      </c>
      <c r="BL113" s="129">
        <v>0</v>
      </c>
      <c r="BM113" s="129">
        <v>0</v>
      </c>
      <c r="BN113" s="129">
        <v>0</v>
      </c>
      <c r="BO113" s="129">
        <v>0</v>
      </c>
      <c r="BP113" s="129">
        <v>0</v>
      </c>
      <c r="BQ113" s="129">
        <v>0</v>
      </c>
      <c r="BR113" s="129">
        <v>0</v>
      </c>
      <c r="BS113" s="129">
        <v>0</v>
      </c>
      <c r="BT113" s="129">
        <v>0</v>
      </c>
      <c r="BU113" s="129">
        <v>0</v>
      </c>
      <c r="BV113" s="129">
        <v>0</v>
      </c>
      <c r="BW113" s="129">
        <v>0</v>
      </c>
      <c r="BX113" s="129">
        <v>0</v>
      </c>
      <c r="BY113" s="129">
        <v>0</v>
      </c>
      <c r="BZ113" s="129">
        <v>0</v>
      </c>
      <c r="CA113" s="129">
        <v>0</v>
      </c>
      <c r="CB113" s="129">
        <v>0</v>
      </c>
      <c r="CC113" s="129">
        <v>0</v>
      </c>
      <c r="CD113" s="129">
        <v>0</v>
      </c>
      <c r="CE113" s="129">
        <v>0</v>
      </c>
      <c r="CF113" s="129">
        <v>0</v>
      </c>
      <c r="CG113" s="129">
        <v>0</v>
      </c>
      <c r="CH113" s="129">
        <v>0</v>
      </c>
      <c r="CI113" s="129">
        <v>0</v>
      </c>
      <c r="CJ113" s="129">
        <v>0</v>
      </c>
      <c r="CK113" s="129">
        <v>0</v>
      </c>
      <c r="CL113" s="129">
        <v>0</v>
      </c>
      <c r="CM113" s="129">
        <v>0</v>
      </c>
      <c r="CN113" s="129">
        <v>0</v>
      </c>
      <c r="CO113" s="129">
        <v>0</v>
      </c>
      <c r="CP113" s="129">
        <v>0</v>
      </c>
      <c r="CQ113" s="129">
        <v>0</v>
      </c>
      <c r="CR113" s="129">
        <v>0</v>
      </c>
      <c r="CS113" s="129">
        <v>0</v>
      </c>
      <c r="CT113" s="129">
        <v>0</v>
      </c>
      <c r="CU113" s="129">
        <v>0</v>
      </c>
      <c r="CV113" s="129">
        <v>0</v>
      </c>
      <c r="CW113" s="129">
        <v>0</v>
      </c>
      <c r="CX113" s="129">
        <v>0</v>
      </c>
      <c r="CY113" s="129">
        <v>0</v>
      </c>
      <c r="CZ113" s="129">
        <v>0</v>
      </c>
      <c r="DA113" s="129">
        <v>0</v>
      </c>
      <c r="DB113" s="129">
        <v>0</v>
      </c>
      <c r="DC113" s="129">
        <v>0</v>
      </c>
      <c r="DD113" s="129">
        <v>0</v>
      </c>
      <c r="DE113" s="129">
        <v>0</v>
      </c>
      <c r="DF113" s="129">
        <v>0</v>
      </c>
      <c r="DG113" s="129">
        <v>0</v>
      </c>
      <c r="DH113" s="129">
        <v>0</v>
      </c>
      <c r="DI113" s="129">
        <v>0</v>
      </c>
      <c r="DJ113" s="129">
        <v>0</v>
      </c>
      <c r="DK113" s="129">
        <v>0</v>
      </c>
      <c r="DL113" s="129">
        <v>0</v>
      </c>
      <c r="DM113" s="129">
        <v>0</v>
      </c>
      <c r="DN113" s="129">
        <v>0</v>
      </c>
      <c r="DO113" s="129">
        <v>0</v>
      </c>
      <c r="DP113" s="129">
        <v>0</v>
      </c>
      <c r="DQ113" s="129">
        <v>0</v>
      </c>
      <c r="DR113" s="129">
        <v>0</v>
      </c>
      <c r="DS113" s="129">
        <v>0</v>
      </c>
      <c r="DT113" s="129">
        <v>0</v>
      </c>
      <c r="DU113" s="129">
        <v>0</v>
      </c>
      <c r="DV113" s="129">
        <v>0</v>
      </c>
      <c r="DW113" s="129">
        <v>0</v>
      </c>
      <c r="DX113" s="129">
        <v>0</v>
      </c>
      <c r="DY113" s="129">
        <v>0</v>
      </c>
      <c r="DZ113" s="129">
        <v>0</v>
      </c>
      <c r="EA113" s="129">
        <v>0</v>
      </c>
      <c r="EB113" s="129">
        <v>0</v>
      </c>
      <c r="EC113" s="129">
        <v>0</v>
      </c>
      <c r="ED113" s="129">
        <v>0</v>
      </c>
      <c r="EE113" s="129">
        <v>0</v>
      </c>
      <c r="EF113" s="129">
        <v>0</v>
      </c>
      <c r="EG113" s="129">
        <v>0</v>
      </c>
      <c r="EH113" s="129">
        <v>0</v>
      </c>
      <c r="EI113" s="129">
        <v>0</v>
      </c>
      <c r="EJ113" s="129">
        <v>0</v>
      </c>
      <c r="EK113" s="129">
        <v>0</v>
      </c>
      <c r="EL113" s="129">
        <v>0</v>
      </c>
      <c r="EM113" s="129">
        <v>0</v>
      </c>
      <c r="EN113" s="129">
        <v>0</v>
      </c>
      <c r="EO113" s="129">
        <v>0</v>
      </c>
      <c r="EP113" s="129">
        <v>0</v>
      </c>
      <c r="EQ113" s="129">
        <v>0</v>
      </c>
      <c r="ER113" s="129">
        <v>0</v>
      </c>
      <c r="ES113" s="129">
        <v>0</v>
      </c>
      <c r="ET113" s="129">
        <v>0</v>
      </c>
      <c r="EU113" s="129">
        <v>0</v>
      </c>
      <c r="EV113" s="129">
        <v>0</v>
      </c>
      <c r="EW113" s="129">
        <v>0</v>
      </c>
      <c r="EX113" s="129">
        <v>0</v>
      </c>
      <c r="EY113" s="129">
        <v>0</v>
      </c>
      <c r="EZ113" s="129">
        <v>0</v>
      </c>
      <c r="FA113" s="129">
        <v>0</v>
      </c>
      <c r="FB113" s="129">
        <v>0</v>
      </c>
      <c r="FC113" s="129">
        <v>0</v>
      </c>
      <c r="FD113" s="129">
        <v>0</v>
      </c>
      <c r="FE113" s="129">
        <v>0</v>
      </c>
      <c r="FF113" s="129">
        <v>0</v>
      </c>
      <c r="FG113" s="129">
        <v>0</v>
      </c>
      <c r="FH113" s="129">
        <v>0</v>
      </c>
      <c r="FI113" s="129">
        <v>0</v>
      </c>
      <c r="FJ113" s="129">
        <v>0</v>
      </c>
      <c r="FK113" s="129">
        <v>0</v>
      </c>
      <c r="FL113" s="129">
        <v>0</v>
      </c>
      <c r="FM113" s="129">
        <v>0</v>
      </c>
      <c r="FN113" s="129">
        <v>0</v>
      </c>
      <c r="FO113" s="129">
        <v>0</v>
      </c>
      <c r="FP113" s="129">
        <v>0</v>
      </c>
      <c r="FQ113" s="129">
        <v>0</v>
      </c>
      <c r="FR113" s="129">
        <v>0</v>
      </c>
      <c r="FS113" s="129">
        <v>0</v>
      </c>
      <c r="FT113" s="129">
        <v>0</v>
      </c>
      <c r="FU113" s="129">
        <v>0</v>
      </c>
      <c r="FV113" s="129">
        <v>0</v>
      </c>
      <c r="FW113" s="129">
        <v>0</v>
      </c>
      <c r="FX113" s="129">
        <v>0</v>
      </c>
      <c r="FY113" s="129">
        <v>0</v>
      </c>
      <c r="FZ113" s="129">
        <v>0</v>
      </c>
      <c r="GA113" s="129">
        <v>0</v>
      </c>
      <c r="GB113" s="129">
        <v>0</v>
      </c>
      <c r="GC113" s="129">
        <v>0</v>
      </c>
      <c r="GD113" s="129">
        <v>0</v>
      </c>
      <c r="GE113" s="129">
        <v>0</v>
      </c>
      <c r="GF113" s="129">
        <v>0</v>
      </c>
      <c r="GG113" s="129">
        <v>0</v>
      </c>
      <c r="GH113" s="129">
        <v>0</v>
      </c>
      <c r="GI113" s="129">
        <v>0</v>
      </c>
      <c r="GJ113" s="129">
        <v>0</v>
      </c>
      <c r="GK113" s="129">
        <v>0</v>
      </c>
      <c r="GL113" s="129">
        <v>0</v>
      </c>
      <c r="GM113" s="129">
        <v>0</v>
      </c>
      <c r="GN113" s="129">
        <v>0</v>
      </c>
      <c r="GO113" s="129">
        <v>0</v>
      </c>
      <c r="GP113" s="129">
        <v>0</v>
      </c>
      <c r="GQ113" s="129">
        <v>0</v>
      </c>
      <c r="GR113" s="129">
        <v>0</v>
      </c>
      <c r="GS113" s="129">
        <v>0</v>
      </c>
      <c r="GT113" s="129">
        <v>0</v>
      </c>
      <c r="GU113" s="129">
        <v>0</v>
      </c>
      <c r="GV113" s="129">
        <v>0</v>
      </c>
      <c r="GW113" s="129">
        <v>0</v>
      </c>
      <c r="GX113" s="129">
        <v>0</v>
      </c>
      <c r="GY113" s="129">
        <v>0</v>
      </c>
      <c r="GZ113" s="129">
        <v>0</v>
      </c>
      <c r="HA113" s="129">
        <v>0</v>
      </c>
      <c r="HB113" s="129">
        <v>0</v>
      </c>
      <c r="HC113" s="129">
        <v>0</v>
      </c>
      <c r="HD113" s="129">
        <v>0</v>
      </c>
      <c r="HE113" s="129">
        <v>0</v>
      </c>
      <c r="HF113" s="129">
        <v>0</v>
      </c>
      <c r="HG113" s="129">
        <v>0</v>
      </c>
      <c r="HH113" s="129">
        <v>0</v>
      </c>
      <c r="HI113" s="129">
        <v>0</v>
      </c>
      <c r="HJ113" s="129">
        <v>0</v>
      </c>
      <c r="HK113" s="129">
        <v>0</v>
      </c>
      <c r="HL113" s="129">
        <v>0</v>
      </c>
      <c r="HM113" s="129">
        <v>0</v>
      </c>
      <c r="HN113" s="129">
        <v>0</v>
      </c>
      <c r="HO113" s="129">
        <v>0</v>
      </c>
      <c r="HP113" s="129">
        <v>0</v>
      </c>
      <c r="HQ113" s="129">
        <v>0</v>
      </c>
      <c r="HR113" s="129">
        <v>0</v>
      </c>
      <c r="HS113" s="129">
        <v>0</v>
      </c>
      <c r="HT113" s="129">
        <v>0</v>
      </c>
      <c r="HU113" s="129">
        <v>0</v>
      </c>
      <c r="HV113" s="129">
        <v>0</v>
      </c>
      <c r="HW113" s="129">
        <v>0</v>
      </c>
      <c r="HX113" s="129">
        <v>0</v>
      </c>
      <c r="HY113" s="129">
        <v>0</v>
      </c>
      <c r="HZ113" s="129">
        <v>0</v>
      </c>
      <c r="IA113" s="129">
        <v>0</v>
      </c>
      <c r="IB113" s="129">
        <v>0</v>
      </c>
      <c r="IC113" s="129">
        <v>0</v>
      </c>
      <c r="ID113" s="129">
        <v>0</v>
      </c>
      <c r="IE113" s="129">
        <v>0</v>
      </c>
      <c r="IF113" s="129">
        <v>0</v>
      </c>
      <c r="IG113" s="129">
        <v>0</v>
      </c>
      <c r="IH113" s="129">
        <v>0</v>
      </c>
      <c r="II113" s="129">
        <v>0</v>
      </c>
      <c r="IJ113" s="129">
        <v>0</v>
      </c>
      <c r="IK113" s="129">
        <v>0</v>
      </c>
      <c r="IL113" s="129">
        <v>0</v>
      </c>
      <c r="IM113" s="129">
        <v>0</v>
      </c>
      <c r="IN113" s="129">
        <v>0</v>
      </c>
      <c r="IO113" s="129">
        <v>0</v>
      </c>
      <c r="IP113" s="129">
        <v>0</v>
      </c>
      <c r="IQ113" s="129">
        <v>0</v>
      </c>
      <c r="IR113" s="129">
        <v>0</v>
      </c>
      <c r="IS113" s="129">
        <v>0</v>
      </c>
      <c r="IT113" s="129">
        <v>0</v>
      </c>
      <c r="IU113" s="129">
        <v>0</v>
      </c>
      <c r="IV113" s="129">
        <v>0</v>
      </c>
      <c r="IW113" s="129">
        <v>0</v>
      </c>
      <c r="IX113" s="129">
        <v>0</v>
      </c>
      <c r="IY113" s="129">
        <v>0</v>
      </c>
      <c r="IZ113" s="129">
        <v>0</v>
      </c>
      <c r="JA113" s="129">
        <v>0</v>
      </c>
      <c r="JB113" s="129">
        <v>0</v>
      </c>
      <c r="JC113" s="129">
        <v>0</v>
      </c>
      <c r="JD113" s="129">
        <v>0</v>
      </c>
      <c r="JE113" s="129">
        <v>0</v>
      </c>
      <c r="JF113" s="129">
        <v>0</v>
      </c>
      <c r="JG113" s="129">
        <v>0</v>
      </c>
      <c r="JH113" s="129">
        <v>0</v>
      </c>
      <c r="JI113" s="129">
        <v>0</v>
      </c>
      <c r="JJ113" s="129">
        <v>0</v>
      </c>
      <c r="JK113" s="129">
        <v>0</v>
      </c>
      <c r="JL113" s="129">
        <v>0</v>
      </c>
      <c r="JM113" s="129">
        <v>0</v>
      </c>
      <c r="JN113" s="129">
        <v>0</v>
      </c>
      <c r="JO113" s="129">
        <v>0</v>
      </c>
      <c r="JP113" s="129">
        <v>0</v>
      </c>
      <c r="JQ113" s="129">
        <v>0</v>
      </c>
      <c r="JR113" s="129">
        <v>0</v>
      </c>
      <c r="JS113" s="129">
        <v>0</v>
      </c>
      <c r="JT113" s="129">
        <v>0</v>
      </c>
      <c r="JU113" s="129">
        <v>0</v>
      </c>
      <c r="JV113" s="129">
        <v>0</v>
      </c>
      <c r="JW113" s="129">
        <v>0</v>
      </c>
      <c r="JX113" s="129">
        <v>0</v>
      </c>
      <c r="JY113" s="129">
        <v>0</v>
      </c>
      <c r="JZ113" s="129">
        <v>0</v>
      </c>
      <c r="KA113" s="129">
        <v>0</v>
      </c>
      <c r="KB113" s="129">
        <v>0</v>
      </c>
      <c r="KC113" s="129">
        <v>0</v>
      </c>
      <c r="KD113" s="129">
        <v>0</v>
      </c>
      <c r="KE113" s="129">
        <v>0</v>
      </c>
      <c r="KF113" s="129">
        <v>0</v>
      </c>
      <c r="KG113" s="129">
        <v>0</v>
      </c>
      <c r="KH113" s="129">
        <v>0</v>
      </c>
      <c r="KI113" s="129">
        <v>0</v>
      </c>
      <c r="KJ113" s="129">
        <v>0</v>
      </c>
      <c r="KK113" s="129">
        <v>0</v>
      </c>
      <c r="KL113" s="129">
        <v>0</v>
      </c>
      <c r="KM113" s="129">
        <v>0</v>
      </c>
      <c r="KN113" s="129">
        <v>0</v>
      </c>
      <c r="KO113" s="129">
        <v>0</v>
      </c>
      <c r="KP113" s="129">
        <v>0</v>
      </c>
      <c r="KQ113" s="129">
        <v>0</v>
      </c>
      <c r="KR113" s="129">
        <v>0</v>
      </c>
      <c r="KS113" s="129">
        <v>0</v>
      </c>
      <c r="KT113" s="129">
        <v>0</v>
      </c>
      <c r="KU113" s="129">
        <v>0</v>
      </c>
      <c r="KV113" s="129">
        <v>0</v>
      </c>
      <c r="KW113" s="129">
        <v>0</v>
      </c>
      <c r="KX113" s="129">
        <v>0</v>
      </c>
      <c r="KY113" s="129">
        <v>0</v>
      </c>
      <c r="KZ113" s="129">
        <v>0</v>
      </c>
      <c r="LA113" s="129">
        <v>0</v>
      </c>
      <c r="LB113" s="129">
        <v>0</v>
      </c>
      <c r="LC113" s="129">
        <v>0</v>
      </c>
      <c r="LD113" s="129">
        <v>0</v>
      </c>
      <c r="LE113" s="129">
        <v>0</v>
      </c>
      <c r="LF113" s="129">
        <v>0</v>
      </c>
      <c r="LG113" s="129">
        <v>0</v>
      </c>
      <c r="LH113" s="129">
        <v>0</v>
      </c>
      <c r="LI113" s="129">
        <v>0</v>
      </c>
      <c r="LJ113" s="129">
        <v>0</v>
      </c>
      <c r="LK113" s="129">
        <v>0</v>
      </c>
      <c r="LL113" s="129">
        <v>0</v>
      </c>
      <c r="LM113" s="129">
        <v>0</v>
      </c>
      <c r="LN113" s="129">
        <v>0</v>
      </c>
      <c r="LO113" s="129">
        <v>0</v>
      </c>
      <c r="LP113" s="129">
        <v>0</v>
      </c>
      <c r="LQ113" s="129">
        <v>0</v>
      </c>
      <c r="LR113" s="129">
        <v>0</v>
      </c>
      <c r="LS113" s="129">
        <v>0</v>
      </c>
      <c r="LT113" s="129">
        <v>0</v>
      </c>
      <c r="LU113" s="129">
        <v>0</v>
      </c>
      <c r="LV113" s="129">
        <v>0</v>
      </c>
      <c r="LW113" s="129">
        <v>0</v>
      </c>
      <c r="LX113" s="129">
        <v>0</v>
      </c>
      <c r="LY113" s="129">
        <v>0</v>
      </c>
      <c r="LZ113" s="129">
        <v>0</v>
      </c>
      <c r="MA113" s="129">
        <v>0</v>
      </c>
      <c r="MB113" s="129">
        <v>0</v>
      </c>
      <c r="MC113" s="129">
        <v>0</v>
      </c>
      <c r="MD113" s="129">
        <v>0</v>
      </c>
      <c r="ME113" s="129">
        <v>0</v>
      </c>
      <c r="MF113" s="129">
        <v>0</v>
      </c>
      <c r="MG113" s="129">
        <v>0</v>
      </c>
      <c r="MH113" s="129">
        <v>0</v>
      </c>
      <c r="MI113" s="129">
        <v>0</v>
      </c>
      <c r="MJ113" s="129">
        <v>0</v>
      </c>
      <c r="MK113" s="129">
        <v>0</v>
      </c>
      <c r="ML113" s="129">
        <v>0</v>
      </c>
      <c r="MM113" s="129">
        <v>0</v>
      </c>
      <c r="MN113" s="129">
        <v>0</v>
      </c>
      <c r="MO113" s="129">
        <v>0</v>
      </c>
      <c r="MP113" s="129">
        <v>0</v>
      </c>
      <c r="MQ113" s="129">
        <v>0</v>
      </c>
      <c r="MR113" s="129">
        <v>0</v>
      </c>
      <c r="MS113" s="129">
        <v>0</v>
      </c>
      <c r="MT113" s="129">
        <v>0</v>
      </c>
      <c r="MU113" s="129">
        <v>0</v>
      </c>
      <c r="MV113" s="129">
        <v>0</v>
      </c>
      <c r="MW113" s="129">
        <v>0</v>
      </c>
      <c r="MX113" s="129">
        <v>0</v>
      </c>
      <c r="MY113" s="129">
        <v>0</v>
      </c>
      <c r="MZ113" s="129">
        <v>0</v>
      </c>
      <c r="NA113" s="129">
        <v>0</v>
      </c>
      <c r="NB113" s="129">
        <v>0</v>
      </c>
      <c r="NC113" s="129">
        <v>0</v>
      </c>
      <c r="ND113" s="129">
        <v>0</v>
      </c>
      <c r="NE113" s="129">
        <v>0</v>
      </c>
      <c r="NF113" s="129">
        <v>0</v>
      </c>
      <c r="NG113" s="129">
        <v>0</v>
      </c>
      <c r="NH113" s="129">
        <v>0</v>
      </c>
      <c r="NI113" s="129">
        <v>0</v>
      </c>
      <c r="NJ113" s="129">
        <v>0</v>
      </c>
      <c r="NK113" s="129">
        <v>0</v>
      </c>
      <c r="NL113" s="129">
        <v>0</v>
      </c>
      <c r="NM113" s="129">
        <v>0</v>
      </c>
      <c r="NN113" s="129">
        <v>0</v>
      </c>
      <c r="NO113" s="129">
        <v>0</v>
      </c>
      <c r="NP113" s="129">
        <v>0</v>
      </c>
      <c r="NQ113" s="129">
        <v>0</v>
      </c>
      <c r="NR113" s="129">
        <v>0</v>
      </c>
      <c r="NS113" s="129">
        <v>0</v>
      </c>
      <c r="NT113" s="129">
        <v>0</v>
      </c>
      <c r="NU113" s="129">
        <v>0</v>
      </c>
      <c r="NV113" s="129">
        <v>0</v>
      </c>
      <c r="NW113" s="129">
        <v>0</v>
      </c>
      <c r="NX113" s="129">
        <v>0</v>
      </c>
      <c r="NY113" s="129">
        <v>0</v>
      </c>
      <c r="NZ113" s="129">
        <v>0</v>
      </c>
      <c r="OA113" s="129">
        <v>0</v>
      </c>
      <c r="OB113" s="129">
        <v>0</v>
      </c>
      <c r="OC113" s="129">
        <v>0</v>
      </c>
      <c r="OD113" s="129">
        <v>0</v>
      </c>
      <c r="OE113" s="129">
        <v>0</v>
      </c>
      <c r="OF113" s="129">
        <v>0</v>
      </c>
      <c r="OG113" s="129">
        <v>0</v>
      </c>
      <c r="OH113" s="133">
        <v>0</v>
      </c>
    </row>
    <row r="114" spans="1:398" ht="15" thickBot="1" x14ac:dyDescent="0.4">
      <c r="A114" s="102"/>
      <c r="B114" s="147">
        <f t="shared" si="62"/>
        <v>86</v>
      </c>
      <c r="C114" s="171" t="s">
        <v>903</v>
      </c>
      <c r="D114" s="124" t="s">
        <v>752</v>
      </c>
      <c r="E114" s="124" t="s">
        <v>917</v>
      </c>
      <c r="F114" s="125" t="s">
        <v>738</v>
      </c>
      <c r="G114" s="125" t="s">
        <v>738</v>
      </c>
      <c r="H114" s="125" t="s">
        <v>738</v>
      </c>
      <c r="I114" s="134">
        <f>SUM(I110:I113)</f>
        <v>0</v>
      </c>
      <c r="J114" s="134">
        <f>SUM(J110:J113)</f>
        <v>0</v>
      </c>
      <c r="K114" s="134">
        <f t="shared" ref="K114:O114" si="69">SUM(K110:K113)</f>
        <v>0</v>
      </c>
      <c r="L114" s="134">
        <f t="shared" si="69"/>
        <v>0</v>
      </c>
      <c r="M114" s="134">
        <f t="shared" si="69"/>
        <v>0</v>
      </c>
      <c r="N114" s="134">
        <f>SUM(N110:N113)</f>
        <v>0</v>
      </c>
      <c r="O114" s="134">
        <f t="shared" si="69"/>
        <v>0</v>
      </c>
      <c r="P114" s="134">
        <f>SUM(P110:P113)</f>
        <v>0</v>
      </c>
      <c r="Q114" s="134">
        <f t="shared" ref="Q114" si="70">SUM(Q110:Q113)</f>
        <v>0</v>
      </c>
      <c r="R114" s="134">
        <f>SUM(R110:R113)</f>
        <v>0</v>
      </c>
      <c r="S114" s="134">
        <f>SUM(S110:S113)</f>
        <v>0</v>
      </c>
      <c r="T114" s="134">
        <f>SUM(T110:T113)</f>
        <v>0</v>
      </c>
      <c r="U114" s="134">
        <f t="shared" ref="U114:CC114" si="71">SUM(U110:U113)</f>
        <v>0</v>
      </c>
      <c r="V114" s="134">
        <f t="shared" si="71"/>
        <v>0</v>
      </c>
      <c r="W114" s="134">
        <f t="shared" si="71"/>
        <v>0</v>
      </c>
      <c r="X114" s="134">
        <f t="shared" si="71"/>
        <v>0</v>
      </c>
      <c r="Y114" s="134">
        <f t="shared" si="71"/>
        <v>0</v>
      </c>
      <c r="Z114" s="134">
        <f t="shared" si="71"/>
        <v>0</v>
      </c>
      <c r="AA114" s="134">
        <f t="shared" si="71"/>
        <v>0</v>
      </c>
      <c r="AB114" s="134">
        <f t="shared" si="71"/>
        <v>0</v>
      </c>
      <c r="AC114" s="134">
        <f t="shared" si="71"/>
        <v>0</v>
      </c>
      <c r="AD114" s="134">
        <f t="shared" si="71"/>
        <v>0</v>
      </c>
      <c r="AE114" s="134">
        <f t="shared" si="71"/>
        <v>0</v>
      </c>
      <c r="AF114" s="134">
        <f t="shared" si="71"/>
        <v>0</v>
      </c>
      <c r="AG114" s="134">
        <f t="shared" si="71"/>
        <v>0</v>
      </c>
      <c r="AH114" s="134">
        <f t="shared" si="71"/>
        <v>0</v>
      </c>
      <c r="AI114" s="134">
        <f t="shared" si="71"/>
        <v>0</v>
      </c>
      <c r="AJ114" s="134">
        <f t="shared" si="71"/>
        <v>0</v>
      </c>
      <c r="AK114" s="134">
        <f t="shared" si="71"/>
        <v>0</v>
      </c>
      <c r="AL114" s="134">
        <f t="shared" si="71"/>
        <v>0</v>
      </c>
      <c r="AM114" s="134">
        <f t="shared" si="71"/>
        <v>0</v>
      </c>
      <c r="AN114" s="134">
        <f t="shared" si="71"/>
        <v>0</v>
      </c>
      <c r="AO114" s="134">
        <f t="shared" si="71"/>
        <v>0</v>
      </c>
      <c r="AP114" s="134">
        <f t="shared" si="71"/>
        <v>0</v>
      </c>
      <c r="AQ114" s="134">
        <f t="shared" si="71"/>
        <v>0</v>
      </c>
      <c r="AR114" s="134">
        <f t="shared" si="71"/>
        <v>0</v>
      </c>
      <c r="AS114" s="134">
        <f t="shared" si="71"/>
        <v>0</v>
      </c>
      <c r="AT114" s="134">
        <f t="shared" si="71"/>
        <v>0</v>
      </c>
      <c r="AU114" s="134">
        <f t="shared" si="71"/>
        <v>0</v>
      </c>
      <c r="AV114" s="134">
        <f t="shared" si="71"/>
        <v>0</v>
      </c>
      <c r="AW114" s="134">
        <f t="shared" si="71"/>
        <v>0</v>
      </c>
      <c r="AX114" s="134">
        <f t="shared" si="71"/>
        <v>0</v>
      </c>
      <c r="AY114" s="134">
        <f t="shared" si="71"/>
        <v>0</v>
      </c>
      <c r="AZ114" s="134">
        <f t="shared" si="71"/>
        <v>0</v>
      </c>
      <c r="BA114" s="134">
        <f t="shared" si="71"/>
        <v>0</v>
      </c>
      <c r="BB114" s="134">
        <f t="shared" si="71"/>
        <v>0</v>
      </c>
      <c r="BC114" s="134">
        <f t="shared" si="71"/>
        <v>0</v>
      </c>
      <c r="BD114" s="134">
        <f t="shared" si="71"/>
        <v>0</v>
      </c>
      <c r="BE114" s="134">
        <f t="shared" si="71"/>
        <v>0</v>
      </c>
      <c r="BF114" s="134">
        <f t="shared" si="71"/>
        <v>0</v>
      </c>
      <c r="BG114" s="134">
        <f t="shared" si="71"/>
        <v>0</v>
      </c>
      <c r="BH114" s="134">
        <f t="shared" si="71"/>
        <v>0</v>
      </c>
      <c r="BI114" s="134">
        <f t="shared" si="71"/>
        <v>0</v>
      </c>
      <c r="BJ114" s="134">
        <f t="shared" si="71"/>
        <v>0</v>
      </c>
      <c r="BK114" s="134">
        <f t="shared" si="71"/>
        <v>0</v>
      </c>
      <c r="BL114" s="134">
        <f t="shared" si="71"/>
        <v>0</v>
      </c>
      <c r="BM114" s="134">
        <f t="shared" si="71"/>
        <v>0</v>
      </c>
      <c r="BN114" s="134">
        <f t="shared" si="71"/>
        <v>0</v>
      </c>
      <c r="BO114" s="134">
        <f t="shared" si="71"/>
        <v>0</v>
      </c>
      <c r="BP114" s="134">
        <f t="shared" si="71"/>
        <v>0</v>
      </c>
      <c r="BQ114" s="134">
        <f t="shared" si="71"/>
        <v>0</v>
      </c>
      <c r="BR114" s="134">
        <f t="shared" si="71"/>
        <v>0</v>
      </c>
      <c r="BS114" s="134">
        <f t="shared" si="71"/>
        <v>0</v>
      </c>
      <c r="BT114" s="134">
        <f t="shared" si="71"/>
        <v>0</v>
      </c>
      <c r="BU114" s="134">
        <f t="shared" si="71"/>
        <v>0</v>
      </c>
      <c r="BV114" s="134">
        <f t="shared" si="71"/>
        <v>0</v>
      </c>
      <c r="BW114" s="134">
        <f t="shared" si="71"/>
        <v>0</v>
      </c>
      <c r="BX114" s="134">
        <f t="shared" si="71"/>
        <v>0</v>
      </c>
      <c r="BY114" s="134">
        <f t="shared" si="71"/>
        <v>0</v>
      </c>
      <c r="BZ114" s="134">
        <f t="shared" si="71"/>
        <v>0</v>
      </c>
      <c r="CA114" s="134">
        <f t="shared" si="71"/>
        <v>0</v>
      </c>
      <c r="CB114" s="134">
        <f t="shared" si="71"/>
        <v>0</v>
      </c>
      <c r="CC114" s="134">
        <f t="shared" si="71"/>
        <v>0</v>
      </c>
      <c r="CD114" s="134">
        <f t="shared" ref="CD114:EO114" si="72">SUM(CD110:CD113)</f>
        <v>0</v>
      </c>
      <c r="CE114" s="134">
        <f t="shared" si="72"/>
        <v>0</v>
      </c>
      <c r="CF114" s="134">
        <f t="shared" si="72"/>
        <v>0</v>
      </c>
      <c r="CG114" s="134">
        <f t="shared" si="72"/>
        <v>0</v>
      </c>
      <c r="CH114" s="134">
        <f t="shared" si="72"/>
        <v>0</v>
      </c>
      <c r="CI114" s="134">
        <f t="shared" si="72"/>
        <v>0</v>
      </c>
      <c r="CJ114" s="134">
        <f t="shared" si="72"/>
        <v>0</v>
      </c>
      <c r="CK114" s="134">
        <f t="shared" si="72"/>
        <v>0</v>
      </c>
      <c r="CL114" s="134">
        <f t="shared" si="72"/>
        <v>0</v>
      </c>
      <c r="CM114" s="134">
        <f t="shared" si="72"/>
        <v>0</v>
      </c>
      <c r="CN114" s="134">
        <f t="shared" si="72"/>
        <v>0</v>
      </c>
      <c r="CO114" s="134">
        <f t="shared" si="72"/>
        <v>0</v>
      </c>
      <c r="CP114" s="134">
        <f t="shared" si="72"/>
        <v>0</v>
      </c>
      <c r="CQ114" s="134">
        <f t="shared" si="72"/>
        <v>0</v>
      </c>
      <c r="CR114" s="134">
        <f t="shared" si="72"/>
        <v>0</v>
      </c>
      <c r="CS114" s="134">
        <f t="shared" si="72"/>
        <v>0</v>
      </c>
      <c r="CT114" s="134">
        <f t="shared" si="72"/>
        <v>0</v>
      </c>
      <c r="CU114" s="134">
        <f t="shared" si="72"/>
        <v>0</v>
      </c>
      <c r="CV114" s="134">
        <f t="shared" si="72"/>
        <v>0</v>
      </c>
      <c r="CW114" s="134">
        <f t="shared" si="72"/>
        <v>0</v>
      </c>
      <c r="CX114" s="134">
        <f t="shared" si="72"/>
        <v>0</v>
      </c>
      <c r="CY114" s="134">
        <f t="shared" si="72"/>
        <v>0</v>
      </c>
      <c r="CZ114" s="134">
        <f t="shared" si="72"/>
        <v>0</v>
      </c>
      <c r="DA114" s="134">
        <f t="shared" si="72"/>
        <v>0</v>
      </c>
      <c r="DB114" s="134">
        <f t="shared" si="72"/>
        <v>0</v>
      </c>
      <c r="DC114" s="134">
        <f t="shared" si="72"/>
        <v>0</v>
      </c>
      <c r="DD114" s="134">
        <f t="shared" si="72"/>
        <v>0</v>
      </c>
      <c r="DE114" s="134">
        <f t="shared" si="72"/>
        <v>0</v>
      </c>
      <c r="DF114" s="134">
        <f t="shared" si="72"/>
        <v>0</v>
      </c>
      <c r="DG114" s="134">
        <f t="shared" si="72"/>
        <v>0</v>
      </c>
      <c r="DH114" s="134">
        <f t="shared" si="72"/>
        <v>0</v>
      </c>
      <c r="DI114" s="134">
        <f t="shared" si="72"/>
        <v>0</v>
      </c>
      <c r="DJ114" s="134">
        <f t="shared" si="72"/>
        <v>0</v>
      </c>
      <c r="DK114" s="134">
        <f t="shared" si="72"/>
        <v>0</v>
      </c>
      <c r="DL114" s="134">
        <f t="shared" si="72"/>
        <v>0</v>
      </c>
      <c r="DM114" s="134">
        <f t="shared" si="72"/>
        <v>0</v>
      </c>
      <c r="DN114" s="134">
        <f t="shared" si="72"/>
        <v>0</v>
      </c>
      <c r="DO114" s="134">
        <f t="shared" si="72"/>
        <v>0</v>
      </c>
      <c r="DP114" s="134">
        <f t="shared" si="72"/>
        <v>0</v>
      </c>
      <c r="DQ114" s="134">
        <f t="shared" si="72"/>
        <v>0</v>
      </c>
      <c r="DR114" s="134">
        <f t="shared" si="72"/>
        <v>0</v>
      </c>
      <c r="DS114" s="134">
        <f t="shared" si="72"/>
        <v>0</v>
      </c>
      <c r="DT114" s="134">
        <f t="shared" si="72"/>
        <v>0</v>
      </c>
      <c r="DU114" s="134">
        <f t="shared" si="72"/>
        <v>0</v>
      </c>
      <c r="DV114" s="134">
        <f t="shared" si="72"/>
        <v>0</v>
      </c>
      <c r="DW114" s="134">
        <f t="shared" si="72"/>
        <v>0</v>
      </c>
      <c r="DX114" s="134">
        <f t="shared" si="72"/>
        <v>0</v>
      </c>
      <c r="DY114" s="134">
        <f t="shared" si="72"/>
        <v>0</v>
      </c>
      <c r="DZ114" s="134">
        <f t="shared" si="72"/>
        <v>0</v>
      </c>
      <c r="EA114" s="134">
        <f t="shared" si="72"/>
        <v>0</v>
      </c>
      <c r="EB114" s="134">
        <f t="shared" si="72"/>
        <v>0</v>
      </c>
      <c r="EC114" s="134">
        <f t="shared" si="72"/>
        <v>0</v>
      </c>
      <c r="ED114" s="134">
        <f t="shared" si="72"/>
        <v>0</v>
      </c>
      <c r="EE114" s="134">
        <f t="shared" si="72"/>
        <v>0</v>
      </c>
      <c r="EF114" s="134">
        <f t="shared" si="72"/>
        <v>0</v>
      </c>
      <c r="EG114" s="134">
        <f t="shared" si="72"/>
        <v>0</v>
      </c>
      <c r="EH114" s="134">
        <f t="shared" si="72"/>
        <v>0</v>
      </c>
      <c r="EI114" s="134">
        <f t="shared" si="72"/>
        <v>0</v>
      </c>
      <c r="EJ114" s="134">
        <f t="shared" si="72"/>
        <v>0</v>
      </c>
      <c r="EK114" s="134">
        <f t="shared" si="72"/>
        <v>0</v>
      </c>
      <c r="EL114" s="134">
        <f t="shared" ref="EL114" si="73">SUM(EL110:EL113)</f>
        <v>0</v>
      </c>
      <c r="EM114" s="134">
        <f t="shared" si="72"/>
        <v>0</v>
      </c>
      <c r="EN114" s="134">
        <f t="shared" si="72"/>
        <v>0</v>
      </c>
      <c r="EO114" s="134">
        <f t="shared" si="72"/>
        <v>0</v>
      </c>
      <c r="EP114" s="134">
        <f t="shared" ref="EP114:HA114" si="74">SUM(EP110:EP113)</f>
        <v>0</v>
      </c>
      <c r="EQ114" s="134">
        <f t="shared" si="74"/>
        <v>0</v>
      </c>
      <c r="ER114" s="134">
        <f t="shared" si="74"/>
        <v>0</v>
      </c>
      <c r="ES114" s="134">
        <f t="shared" si="74"/>
        <v>0</v>
      </c>
      <c r="ET114" s="134">
        <f t="shared" si="74"/>
        <v>0</v>
      </c>
      <c r="EU114" s="134">
        <f t="shared" si="74"/>
        <v>0</v>
      </c>
      <c r="EV114" s="134">
        <f t="shared" si="74"/>
        <v>0</v>
      </c>
      <c r="EW114" s="134">
        <f t="shared" si="74"/>
        <v>0</v>
      </c>
      <c r="EX114" s="134">
        <f t="shared" si="74"/>
        <v>0</v>
      </c>
      <c r="EY114" s="134">
        <f t="shared" si="74"/>
        <v>0</v>
      </c>
      <c r="EZ114" s="134">
        <f t="shared" si="74"/>
        <v>0</v>
      </c>
      <c r="FA114" s="134">
        <f t="shared" si="74"/>
        <v>0</v>
      </c>
      <c r="FB114" s="134">
        <f t="shared" si="74"/>
        <v>0</v>
      </c>
      <c r="FC114" s="134">
        <f t="shared" si="74"/>
        <v>0</v>
      </c>
      <c r="FD114" s="134">
        <f t="shared" si="74"/>
        <v>0</v>
      </c>
      <c r="FE114" s="134">
        <f t="shared" si="74"/>
        <v>0</v>
      </c>
      <c r="FF114" s="134">
        <f t="shared" si="74"/>
        <v>0</v>
      </c>
      <c r="FG114" s="134">
        <f t="shared" si="74"/>
        <v>0</v>
      </c>
      <c r="FH114" s="134">
        <f t="shared" si="74"/>
        <v>0</v>
      </c>
      <c r="FI114" s="134">
        <f t="shared" si="74"/>
        <v>0</v>
      </c>
      <c r="FJ114" s="134">
        <f t="shared" si="74"/>
        <v>0</v>
      </c>
      <c r="FK114" s="134">
        <f t="shared" si="74"/>
        <v>0</v>
      </c>
      <c r="FL114" s="134">
        <f t="shared" si="74"/>
        <v>0</v>
      </c>
      <c r="FM114" s="134">
        <f t="shared" si="74"/>
        <v>0</v>
      </c>
      <c r="FN114" s="134">
        <f t="shared" si="74"/>
        <v>0</v>
      </c>
      <c r="FO114" s="134">
        <f t="shared" si="74"/>
        <v>0</v>
      </c>
      <c r="FP114" s="134">
        <f t="shared" si="74"/>
        <v>0</v>
      </c>
      <c r="FQ114" s="134">
        <f t="shared" si="74"/>
        <v>0</v>
      </c>
      <c r="FR114" s="134">
        <f t="shared" si="74"/>
        <v>0</v>
      </c>
      <c r="FS114" s="134">
        <f t="shared" si="74"/>
        <v>0</v>
      </c>
      <c r="FT114" s="134">
        <f t="shared" si="74"/>
        <v>0</v>
      </c>
      <c r="FU114" s="134">
        <f t="shared" si="74"/>
        <v>0</v>
      </c>
      <c r="FV114" s="134">
        <f t="shared" si="74"/>
        <v>0</v>
      </c>
      <c r="FW114" s="134">
        <f t="shared" si="74"/>
        <v>0</v>
      </c>
      <c r="FX114" s="134">
        <f t="shared" si="74"/>
        <v>0</v>
      </c>
      <c r="FY114" s="134">
        <f t="shared" si="74"/>
        <v>0</v>
      </c>
      <c r="FZ114" s="134">
        <f t="shared" si="74"/>
        <v>0</v>
      </c>
      <c r="GA114" s="134">
        <f t="shared" si="74"/>
        <v>0</v>
      </c>
      <c r="GB114" s="134">
        <f t="shared" si="74"/>
        <v>0</v>
      </c>
      <c r="GC114" s="134">
        <f t="shared" si="74"/>
        <v>0</v>
      </c>
      <c r="GD114" s="134">
        <f t="shared" si="74"/>
        <v>0</v>
      </c>
      <c r="GE114" s="134">
        <f t="shared" si="74"/>
        <v>0</v>
      </c>
      <c r="GF114" s="134">
        <f t="shared" si="74"/>
        <v>0</v>
      </c>
      <c r="GG114" s="134">
        <f t="shared" si="74"/>
        <v>0</v>
      </c>
      <c r="GH114" s="134">
        <f t="shared" si="74"/>
        <v>0</v>
      </c>
      <c r="GI114" s="134">
        <f t="shared" si="74"/>
        <v>0</v>
      </c>
      <c r="GJ114" s="134">
        <f t="shared" si="74"/>
        <v>0</v>
      </c>
      <c r="GK114" s="134">
        <f t="shared" si="74"/>
        <v>0</v>
      </c>
      <c r="GL114" s="134">
        <f t="shared" si="74"/>
        <v>0</v>
      </c>
      <c r="GM114" s="134">
        <f t="shared" si="74"/>
        <v>0</v>
      </c>
      <c r="GN114" s="134">
        <f t="shared" si="74"/>
        <v>0</v>
      </c>
      <c r="GO114" s="134">
        <f t="shared" si="74"/>
        <v>0</v>
      </c>
      <c r="GP114" s="134">
        <f t="shared" si="74"/>
        <v>0</v>
      </c>
      <c r="GQ114" s="134">
        <f t="shared" si="74"/>
        <v>0</v>
      </c>
      <c r="GR114" s="134">
        <f t="shared" si="74"/>
        <v>0</v>
      </c>
      <c r="GS114" s="134">
        <f t="shared" si="74"/>
        <v>0</v>
      </c>
      <c r="GT114" s="134">
        <f t="shared" si="74"/>
        <v>0</v>
      </c>
      <c r="GU114" s="134">
        <f t="shared" si="74"/>
        <v>0</v>
      </c>
      <c r="GV114" s="134">
        <f t="shared" si="74"/>
        <v>0</v>
      </c>
      <c r="GW114" s="134">
        <f t="shared" si="74"/>
        <v>0</v>
      </c>
      <c r="GX114" s="134">
        <f t="shared" si="74"/>
        <v>0</v>
      </c>
      <c r="GY114" s="134">
        <f t="shared" si="74"/>
        <v>0</v>
      </c>
      <c r="GZ114" s="134">
        <f t="shared" si="74"/>
        <v>0</v>
      </c>
      <c r="HA114" s="134">
        <f t="shared" si="74"/>
        <v>0</v>
      </c>
      <c r="HB114" s="134">
        <f t="shared" ref="HB114:JM114" si="75">SUM(HB110:HB113)</f>
        <v>0</v>
      </c>
      <c r="HC114" s="134">
        <f t="shared" si="75"/>
        <v>0</v>
      </c>
      <c r="HD114" s="134">
        <f t="shared" si="75"/>
        <v>0</v>
      </c>
      <c r="HE114" s="134">
        <f t="shared" si="75"/>
        <v>0</v>
      </c>
      <c r="HF114" s="134">
        <f t="shared" si="75"/>
        <v>0</v>
      </c>
      <c r="HG114" s="134">
        <f t="shared" si="75"/>
        <v>0</v>
      </c>
      <c r="HH114" s="134">
        <f t="shared" si="75"/>
        <v>0</v>
      </c>
      <c r="HI114" s="134">
        <f t="shared" si="75"/>
        <v>0</v>
      </c>
      <c r="HJ114" s="134">
        <f t="shared" si="75"/>
        <v>0</v>
      </c>
      <c r="HK114" s="134">
        <f t="shared" si="75"/>
        <v>0</v>
      </c>
      <c r="HL114" s="134">
        <f t="shared" si="75"/>
        <v>0</v>
      </c>
      <c r="HM114" s="134">
        <f t="shared" si="75"/>
        <v>0</v>
      </c>
      <c r="HN114" s="134">
        <f t="shared" si="75"/>
        <v>0</v>
      </c>
      <c r="HO114" s="134">
        <f t="shared" si="75"/>
        <v>0</v>
      </c>
      <c r="HP114" s="134">
        <f t="shared" si="75"/>
        <v>0</v>
      </c>
      <c r="HQ114" s="134">
        <f t="shared" si="75"/>
        <v>0</v>
      </c>
      <c r="HR114" s="134">
        <f t="shared" si="75"/>
        <v>0</v>
      </c>
      <c r="HS114" s="134">
        <f t="shared" si="75"/>
        <v>0</v>
      </c>
      <c r="HT114" s="134">
        <f t="shared" si="75"/>
        <v>0</v>
      </c>
      <c r="HU114" s="134">
        <f t="shared" si="75"/>
        <v>0</v>
      </c>
      <c r="HV114" s="134">
        <f t="shared" si="75"/>
        <v>0</v>
      </c>
      <c r="HW114" s="134">
        <f t="shared" si="75"/>
        <v>0</v>
      </c>
      <c r="HX114" s="134">
        <f t="shared" si="75"/>
        <v>0</v>
      </c>
      <c r="HY114" s="134">
        <f t="shared" si="75"/>
        <v>0</v>
      </c>
      <c r="HZ114" s="134">
        <f t="shared" si="75"/>
        <v>0</v>
      </c>
      <c r="IA114" s="134">
        <f t="shared" si="75"/>
        <v>0</v>
      </c>
      <c r="IB114" s="134">
        <f t="shared" si="75"/>
        <v>0</v>
      </c>
      <c r="IC114" s="134">
        <f t="shared" si="75"/>
        <v>0</v>
      </c>
      <c r="ID114" s="134">
        <f t="shared" si="75"/>
        <v>0</v>
      </c>
      <c r="IE114" s="134">
        <f t="shared" si="75"/>
        <v>0</v>
      </c>
      <c r="IF114" s="134">
        <f t="shared" si="75"/>
        <v>0</v>
      </c>
      <c r="IG114" s="134">
        <f t="shared" si="75"/>
        <v>0</v>
      </c>
      <c r="IH114" s="134">
        <f t="shared" si="75"/>
        <v>0</v>
      </c>
      <c r="II114" s="134">
        <f t="shared" si="75"/>
        <v>0</v>
      </c>
      <c r="IJ114" s="134">
        <f t="shared" si="75"/>
        <v>0</v>
      </c>
      <c r="IK114" s="134">
        <f t="shared" si="75"/>
        <v>0</v>
      </c>
      <c r="IL114" s="134">
        <f t="shared" si="75"/>
        <v>0</v>
      </c>
      <c r="IM114" s="134">
        <f t="shared" si="75"/>
        <v>0</v>
      </c>
      <c r="IN114" s="134">
        <f t="shared" si="75"/>
        <v>0</v>
      </c>
      <c r="IO114" s="134">
        <f t="shared" si="75"/>
        <v>0</v>
      </c>
      <c r="IP114" s="134">
        <f t="shared" si="75"/>
        <v>0</v>
      </c>
      <c r="IQ114" s="134">
        <f t="shared" si="75"/>
        <v>0</v>
      </c>
      <c r="IR114" s="134">
        <f t="shared" si="75"/>
        <v>0</v>
      </c>
      <c r="IS114" s="134">
        <f t="shared" si="75"/>
        <v>0</v>
      </c>
      <c r="IT114" s="134">
        <f t="shared" si="75"/>
        <v>0</v>
      </c>
      <c r="IU114" s="134">
        <f t="shared" si="75"/>
        <v>0</v>
      </c>
      <c r="IV114" s="134">
        <f t="shared" si="75"/>
        <v>0</v>
      </c>
      <c r="IW114" s="134">
        <f t="shared" si="75"/>
        <v>0</v>
      </c>
      <c r="IX114" s="134">
        <f t="shared" si="75"/>
        <v>0</v>
      </c>
      <c r="IY114" s="134">
        <f t="shared" si="75"/>
        <v>0</v>
      </c>
      <c r="IZ114" s="134">
        <f t="shared" si="75"/>
        <v>0</v>
      </c>
      <c r="JA114" s="134">
        <f t="shared" si="75"/>
        <v>0</v>
      </c>
      <c r="JB114" s="134">
        <f t="shared" si="75"/>
        <v>0</v>
      </c>
      <c r="JC114" s="134">
        <f t="shared" si="75"/>
        <v>0</v>
      </c>
      <c r="JD114" s="134">
        <f t="shared" si="75"/>
        <v>0</v>
      </c>
      <c r="JE114" s="134">
        <f t="shared" si="75"/>
        <v>0</v>
      </c>
      <c r="JF114" s="134">
        <f t="shared" si="75"/>
        <v>0</v>
      </c>
      <c r="JG114" s="134">
        <f t="shared" si="75"/>
        <v>0</v>
      </c>
      <c r="JH114" s="134">
        <f t="shared" si="75"/>
        <v>0</v>
      </c>
      <c r="JI114" s="134">
        <f t="shared" si="75"/>
        <v>0</v>
      </c>
      <c r="JJ114" s="134">
        <f t="shared" si="75"/>
        <v>0</v>
      </c>
      <c r="JK114" s="134">
        <f t="shared" si="75"/>
        <v>0</v>
      </c>
      <c r="JL114" s="134">
        <f t="shared" si="75"/>
        <v>0</v>
      </c>
      <c r="JM114" s="134">
        <f t="shared" si="75"/>
        <v>0</v>
      </c>
      <c r="JN114" s="134">
        <f t="shared" ref="JN114:LY114" si="76">SUM(JN110:JN113)</f>
        <v>0</v>
      </c>
      <c r="JO114" s="134">
        <f t="shared" si="76"/>
        <v>0</v>
      </c>
      <c r="JP114" s="134">
        <f t="shared" si="76"/>
        <v>0</v>
      </c>
      <c r="JQ114" s="134">
        <f t="shared" si="76"/>
        <v>0</v>
      </c>
      <c r="JR114" s="134">
        <f t="shared" si="76"/>
        <v>0</v>
      </c>
      <c r="JS114" s="134">
        <f t="shared" si="76"/>
        <v>0</v>
      </c>
      <c r="JT114" s="134">
        <f t="shared" si="76"/>
        <v>0</v>
      </c>
      <c r="JU114" s="134">
        <f t="shared" si="76"/>
        <v>0</v>
      </c>
      <c r="JV114" s="134">
        <f t="shared" si="76"/>
        <v>0</v>
      </c>
      <c r="JW114" s="134">
        <f t="shared" si="76"/>
        <v>0</v>
      </c>
      <c r="JX114" s="134">
        <f t="shared" si="76"/>
        <v>0</v>
      </c>
      <c r="JY114" s="134">
        <f t="shared" si="76"/>
        <v>0</v>
      </c>
      <c r="JZ114" s="134">
        <f t="shared" si="76"/>
        <v>0</v>
      </c>
      <c r="KA114" s="134">
        <f t="shared" si="76"/>
        <v>0</v>
      </c>
      <c r="KB114" s="134">
        <f t="shared" si="76"/>
        <v>0</v>
      </c>
      <c r="KC114" s="134">
        <f t="shared" si="76"/>
        <v>0</v>
      </c>
      <c r="KD114" s="134">
        <f t="shared" si="76"/>
        <v>0</v>
      </c>
      <c r="KE114" s="134">
        <f t="shared" si="76"/>
        <v>0</v>
      </c>
      <c r="KF114" s="134">
        <f t="shared" si="76"/>
        <v>0</v>
      </c>
      <c r="KG114" s="134">
        <f t="shared" si="76"/>
        <v>0</v>
      </c>
      <c r="KH114" s="134">
        <f t="shared" si="76"/>
        <v>0</v>
      </c>
      <c r="KI114" s="134">
        <f t="shared" si="76"/>
        <v>0</v>
      </c>
      <c r="KJ114" s="134">
        <f t="shared" si="76"/>
        <v>0</v>
      </c>
      <c r="KK114" s="134">
        <f t="shared" si="76"/>
        <v>0</v>
      </c>
      <c r="KL114" s="134">
        <f t="shared" si="76"/>
        <v>0</v>
      </c>
      <c r="KM114" s="134">
        <f t="shared" si="76"/>
        <v>0</v>
      </c>
      <c r="KN114" s="134">
        <f t="shared" si="76"/>
        <v>0</v>
      </c>
      <c r="KO114" s="134">
        <f t="shared" si="76"/>
        <v>0</v>
      </c>
      <c r="KP114" s="134">
        <f t="shared" si="76"/>
        <v>0</v>
      </c>
      <c r="KQ114" s="134">
        <f t="shared" si="76"/>
        <v>0</v>
      </c>
      <c r="KR114" s="134">
        <f t="shared" si="76"/>
        <v>0</v>
      </c>
      <c r="KS114" s="134">
        <f t="shared" si="76"/>
        <v>0</v>
      </c>
      <c r="KT114" s="134">
        <f t="shared" si="76"/>
        <v>0</v>
      </c>
      <c r="KU114" s="134">
        <f t="shared" si="76"/>
        <v>0</v>
      </c>
      <c r="KV114" s="134">
        <f t="shared" si="76"/>
        <v>0</v>
      </c>
      <c r="KW114" s="134">
        <f t="shared" si="76"/>
        <v>0</v>
      </c>
      <c r="KX114" s="134">
        <f t="shared" si="76"/>
        <v>0</v>
      </c>
      <c r="KY114" s="134">
        <f t="shared" si="76"/>
        <v>0</v>
      </c>
      <c r="KZ114" s="134">
        <f t="shared" si="76"/>
        <v>0</v>
      </c>
      <c r="LA114" s="134">
        <f t="shared" si="76"/>
        <v>0</v>
      </c>
      <c r="LB114" s="134">
        <f t="shared" si="76"/>
        <v>0</v>
      </c>
      <c r="LC114" s="134">
        <f t="shared" si="76"/>
        <v>0</v>
      </c>
      <c r="LD114" s="134">
        <f t="shared" si="76"/>
        <v>0</v>
      </c>
      <c r="LE114" s="134">
        <f t="shared" si="76"/>
        <v>0</v>
      </c>
      <c r="LF114" s="134">
        <f t="shared" si="76"/>
        <v>0</v>
      </c>
      <c r="LG114" s="134">
        <f t="shared" si="76"/>
        <v>0</v>
      </c>
      <c r="LH114" s="134">
        <f t="shared" si="76"/>
        <v>0</v>
      </c>
      <c r="LI114" s="134">
        <f t="shared" si="76"/>
        <v>0</v>
      </c>
      <c r="LJ114" s="134">
        <f t="shared" si="76"/>
        <v>0</v>
      </c>
      <c r="LK114" s="134">
        <f t="shared" si="76"/>
        <v>0</v>
      </c>
      <c r="LL114" s="134">
        <f t="shared" si="76"/>
        <v>0</v>
      </c>
      <c r="LM114" s="134">
        <f t="shared" si="76"/>
        <v>0</v>
      </c>
      <c r="LN114" s="134">
        <f t="shared" si="76"/>
        <v>0</v>
      </c>
      <c r="LO114" s="134">
        <f t="shared" si="76"/>
        <v>0</v>
      </c>
      <c r="LP114" s="134">
        <f t="shared" si="76"/>
        <v>0</v>
      </c>
      <c r="LQ114" s="134">
        <f t="shared" si="76"/>
        <v>0</v>
      </c>
      <c r="LR114" s="134">
        <f t="shared" si="76"/>
        <v>0</v>
      </c>
      <c r="LS114" s="134">
        <f t="shared" si="76"/>
        <v>0</v>
      </c>
      <c r="LT114" s="134">
        <f t="shared" si="76"/>
        <v>0</v>
      </c>
      <c r="LU114" s="134">
        <f t="shared" si="76"/>
        <v>0</v>
      </c>
      <c r="LV114" s="134">
        <f t="shared" si="76"/>
        <v>0</v>
      </c>
      <c r="LW114" s="134">
        <f t="shared" si="76"/>
        <v>0</v>
      </c>
      <c r="LX114" s="134">
        <f t="shared" si="76"/>
        <v>0</v>
      </c>
      <c r="LY114" s="134">
        <f t="shared" si="76"/>
        <v>0</v>
      </c>
      <c r="LZ114" s="134">
        <f t="shared" ref="LZ114:MA114" si="77">SUM(LZ110:LZ113)</f>
        <v>0</v>
      </c>
      <c r="MA114" s="134">
        <f t="shared" si="77"/>
        <v>0</v>
      </c>
      <c r="MB114" s="134">
        <f t="shared" ref="MB114:OH114" si="78">SUM(MB110:MB113)</f>
        <v>0</v>
      </c>
      <c r="MC114" s="134">
        <f t="shared" si="78"/>
        <v>0</v>
      </c>
      <c r="MD114" s="134">
        <f t="shared" si="78"/>
        <v>0</v>
      </c>
      <c r="ME114" s="134">
        <f t="shared" si="78"/>
        <v>0</v>
      </c>
      <c r="MF114" s="134">
        <f t="shared" si="78"/>
        <v>0</v>
      </c>
      <c r="MG114" s="134">
        <f t="shared" si="78"/>
        <v>0</v>
      </c>
      <c r="MH114" s="134">
        <f t="shared" si="78"/>
        <v>0</v>
      </c>
      <c r="MI114" s="134">
        <f t="shared" si="78"/>
        <v>0</v>
      </c>
      <c r="MJ114" s="134">
        <f t="shared" si="78"/>
        <v>0</v>
      </c>
      <c r="MK114" s="134">
        <f t="shared" si="78"/>
        <v>0</v>
      </c>
      <c r="ML114" s="134">
        <f t="shared" si="78"/>
        <v>0</v>
      </c>
      <c r="MM114" s="134">
        <f t="shared" si="78"/>
        <v>0</v>
      </c>
      <c r="MN114" s="134">
        <f t="shared" si="78"/>
        <v>0</v>
      </c>
      <c r="MO114" s="134">
        <f t="shared" si="78"/>
        <v>0</v>
      </c>
      <c r="MP114" s="134">
        <f t="shared" si="78"/>
        <v>0</v>
      </c>
      <c r="MQ114" s="134">
        <f t="shared" si="78"/>
        <v>0</v>
      </c>
      <c r="MR114" s="134">
        <f t="shared" si="78"/>
        <v>0</v>
      </c>
      <c r="MS114" s="134">
        <f t="shared" si="78"/>
        <v>0</v>
      </c>
      <c r="MT114" s="134">
        <f t="shared" si="78"/>
        <v>0</v>
      </c>
      <c r="MU114" s="134">
        <f t="shared" si="78"/>
        <v>0</v>
      </c>
      <c r="MV114" s="134">
        <f t="shared" si="78"/>
        <v>0</v>
      </c>
      <c r="MW114" s="134">
        <f t="shared" si="78"/>
        <v>0</v>
      </c>
      <c r="MX114" s="134">
        <f t="shared" si="78"/>
        <v>0</v>
      </c>
      <c r="MY114" s="134">
        <f t="shared" si="78"/>
        <v>0</v>
      </c>
      <c r="MZ114" s="134">
        <f t="shared" si="78"/>
        <v>0</v>
      </c>
      <c r="NA114" s="134">
        <f t="shared" si="78"/>
        <v>0</v>
      </c>
      <c r="NB114" s="134">
        <f t="shared" si="78"/>
        <v>0</v>
      </c>
      <c r="NC114" s="134">
        <f t="shared" si="78"/>
        <v>0</v>
      </c>
      <c r="ND114" s="134">
        <f t="shared" si="78"/>
        <v>0</v>
      </c>
      <c r="NE114" s="134">
        <f t="shared" si="78"/>
        <v>0</v>
      </c>
      <c r="NF114" s="134">
        <f t="shared" ref="NF114" si="79">SUM(NF110:NF113)</f>
        <v>0</v>
      </c>
      <c r="NG114" s="134">
        <f t="shared" si="78"/>
        <v>0</v>
      </c>
      <c r="NH114" s="134">
        <f t="shared" si="78"/>
        <v>0</v>
      </c>
      <c r="NI114" s="134">
        <f t="shared" si="78"/>
        <v>0</v>
      </c>
      <c r="NJ114" s="134">
        <f t="shared" si="78"/>
        <v>0</v>
      </c>
      <c r="NK114" s="134">
        <f t="shared" si="78"/>
        <v>0</v>
      </c>
      <c r="NL114" s="134">
        <f t="shared" si="78"/>
        <v>0</v>
      </c>
      <c r="NM114" s="134">
        <f t="shared" si="78"/>
        <v>0</v>
      </c>
      <c r="NN114" s="134">
        <f t="shared" si="78"/>
        <v>0</v>
      </c>
      <c r="NO114" s="134">
        <f t="shared" si="78"/>
        <v>0</v>
      </c>
      <c r="NP114" s="134">
        <f t="shared" si="78"/>
        <v>0</v>
      </c>
      <c r="NQ114" s="134">
        <f t="shared" si="78"/>
        <v>0</v>
      </c>
      <c r="NR114" s="134">
        <f t="shared" si="78"/>
        <v>0</v>
      </c>
      <c r="NS114" s="134">
        <f t="shared" si="78"/>
        <v>0</v>
      </c>
      <c r="NT114" s="134">
        <f t="shared" si="78"/>
        <v>0</v>
      </c>
      <c r="NU114" s="134">
        <f t="shared" si="78"/>
        <v>0</v>
      </c>
      <c r="NV114" s="134">
        <f t="shared" si="78"/>
        <v>0</v>
      </c>
      <c r="NW114" s="134">
        <f t="shared" si="78"/>
        <v>0</v>
      </c>
      <c r="NX114" s="134">
        <f t="shared" si="78"/>
        <v>0</v>
      </c>
      <c r="NY114" s="134">
        <f t="shared" si="78"/>
        <v>0</v>
      </c>
      <c r="NZ114" s="134">
        <f t="shared" si="78"/>
        <v>0</v>
      </c>
      <c r="OA114" s="134">
        <f t="shared" si="78"/>
        <v>0</v>
      </c>
      <c r="OB114" s="134">
        <f t="shared" si="78"/>
        <v>0</v>
      </c>
      <c r="OC114" s="134">
        <f t="shared" si="78"/>
        <v>0</v>
      </c>
      <c r="OD114" s="134">
        <f t="shared" si="78"/>
        <v>0</v>
      </c>
      <c r="OE114" s="134">
        <f t="shared" si="78"/>
        <v>0</v>
      </c>
      <c r="OF114" s="134">
        <f t="shared" si="78"/>
        <v>0</v>
      </c>
      <c r="OG114" s="134">
        <f t="shared" si="78"/>
        <v>0</v>
      </c>
      <c r="OH114" s="135">
        <f t="shared" si="78"/>
        <v>0</v>
      </c>
    </row>
    <row r="116" spans="1:398" x14ac:dyDescent="0.35">
      <c r="E116" s="234" t="s">
        <v>918</v>
      </c>
      <c r="F116" s="234"/>
      <c r="G116" s="234"/>
    </row>
  </sheetData>
  <mergeCells count="67">
    <mergeCell ref="E116:G116"/>
    <mergeCell ref="AT27:AT28"/>
    <mergeCell ref="AU27:AU28"/>
    <mergeCell ref="AV27:AV28"/>
    <mergeCell ref="AW27:AW28"/>
    <mergeCell ref="AH27:AH28"/>
    <mergeCell ref="AI27:AI28"/>
    <mergeCell ref="AJ27:AJ28"/>
    <mergeCell ref="AK27:AK28"/>
    <mergeCell ref="AL27:AL28"/>
    <mergeCell ref="AM27:AM28"/>
    <mergeCell ref="AB27:AB28"/>
    <mergeCell ref="AC27:AC28"/>
    <mergeCell ref="AD27:AD28"/>
    <mergeCell ref="AE27:AE28"/>
    <mergeCell ref="AF27:AF28"/>
    <mergeCell ref="AX27:AX28"/>
    <mergeCell ref="AY27:AY28"/>
    <mergeCell ref="AN27:AN28"/>
    <mergeCell ref="AO27:AO28"/>
    <mergeCell ref="AP27:AP28"/>
    <mergeCell ref="AQ27:AQ28"/>
    <mergeCell ref="AR27:AR28"/>
    <mergeCell ref="AS27:AS28"/>
    <mergeCell ref="AG27:AG28"/>
    <mergeCell ref="AR25:AU26"/>
    <mergeCell ref="AV25:AY26"/>
    <mergeCell ref="T27:T28"/>
    <mergeCell ref="U27:U28"/>
    <mergeCell ref="V27:V28"/>
    <mergeCell ref="W27:W28"/>
    <mergeCell ref="X27:X28"/>
    <mergeCell ref="Y27:Y28"/>
    <mergeCell ref="Z27:Z28"/>
    <mergeCell ref="AA27:AA28"/>
    <mergeCell ref="T25:W26"/>
    <mergeCell ref="X25:AA26"/>
    <mergeCell ref="AB25:AE26"/>
    <mergeCell ref="AF25:AI26"/>
    <mergeCell ref="AJ25:AM26"/>
    <mergeCell ref="O24:O28"/>
    <mergeCell ref="P24:P28"/>
    <mergeCell ref="Q24:Q28"/>
    <mergeCell ref="R24:R28"/>
    <mergeCell ref="S24:S28"/>
    <mergeCell ref="I21:K21"/>
    <mergeCell ref="L21:N21"/>
    <mergeCell ref="O21:AY21"/>
    <mergeCell ref="AZ21:OH21"/>
    <mergeCell ref="I22:I28"/>
    <mergeCell ref="K22:K23"/>
    <mergeCell ref="L22:L28"/>
    <mergeCell ref="N22:N23"/>
    <mergeCell ref="P22:S22"/>
    <mergeCell ref="R23:S23"/>
    <mergeCell ref="AN25:AQ26"/>
    <mergeCell ref="T23:AY24"/>
    <mergeCell ref="J24:J28"/>
    <mergeCell ref="K24:K28"/>
    <mergeCell ref="M24:M28"/>
    <mergeCell ref="N24:N28"/>
    <mergeCell ref="I19:N19"/>
    <mergeCell ref="O19:AY19"/>
    <mergeCell ref="AZ19:OH19"/>
    <mergeCell ref="I20:N20"/>
    <mergeCell ref="O20:AY20"/>
    <mergeCell ref="AZ20:OH2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k819937d1b894a15a12560e028b405f1 xmlns="c75dc847-7b58-43df-9a07-02420b318a4f">
      <Terms xmlns="http://schemas.microsoft.com/office/infopath/2007/PartnerControls">
        <TermInfo xmlns="http://schemas.microsoft.com/office/infopath/2007/PartnerControls">
          <TermName xmlns="http://schemas.microsoft.com/office/infopath/2007/PartnerControls">Communications</TermName>
          <TermId xmlns="http://schemas.microsoft.com/office/infopath/2007/PartnerControls">dbe7caa8-5846-463b-ad50-394ca0372f2b</TermId>
        </TermInfo>
      </Terms>
    </k819937d1b894a15a12560e028b405f1>
    <k53aee2131224886be5acb59507f64e2 xmlns="c75dc847-7b58-43df-9a07-02420b318a4f">
      <Terms xmlns="http://schemas.microsoft.com/office/infopath/2007/PartnerControls">
        <TermInfo xmlns="http://schemas.microsoft.com/office/infopath/2007/PartnerControls">
          <TermName xmlns="http://schemas.microsoft.com/office/infopath/2007/PartnerControls">Communications</TermName>
          <TermId xmlns="http://schemas.microsoft.com/office/infopath/2007/PartnerControls">1c3e56db-1e4a-4ab6-8470-7e1ce754e831</TermId>
        </TermInfo>
      </Terms>
    </k53aee2131224886be5acb59507f64e2>
    <hcf60d1855a04bfba2fbccb16e64ac51 xmlns="c75dc847-7b58-43df-9a07-02420b318a4f">
      <Terms xmlns="http://schemas.microsoft.com/office/infopath/2007/PartnerControls">
        <TermInfo xmlns="http://schemas.microsoft.com/office/infopath/2007/PartnerControls">
          <TermName xmlns="http://schemas.microsoft.com/office/infopath/2007/PartnerControls">EBA Regular Use</TermName>
          <TermId xmlns="http://schemas.microsoft.com/office/infopath/2007/PartnerControls">1beb7b00-08f6-4d2a-ade7-bc527fe9cdf9</TermId>
        </TermInfo>
      </Terms>
    </hcf60d1855a04bfba2fbccb16e64ac51>
    <ma94e963cec447ddbb540abdffbfb61b xmlns="c75dc847-7b58-43df-9a07-02420b318a4f">
      <Terms xmlns="http://schemas.microsoft.com/office/infopath/2007/PartnerControls">
        <TermInfo xmlns="http://schemas.microsoft.com/office/infopath/2007/PartnerControls">
          <TermName xmlns="http://schemas.microsoft.com/office/infopath/2007/PartnerControls">0420-10 Press Releases and News Items</TermName>
          <TermId xmlns="http://schemas.microsoft.com/office/infopath/2007/PartnerControls">3d72fd2f-f7b4-42d4-9a8d-880afe9afcb1</TermId>
        </TermInfo>
      </Terms>
    </ma94e963cec447ddbb540abdffbfb61b>
    <ERMSReference xmlns="c75dc847-7b58-43df-9a07-02420b318a4f" xsi:nil="true"/>
    <gf283d17bf4b4b12b5854eedadddadd8 xmlns="c75dc847-7b58-43df-9a07-02420b318a4f">
      <Terms xmlns="http://schemas.microsoft.com/office/infopath/2007/PartnerControls">
        <TermInfo xmlns="http://schemas.microsoft.com/office/infopath/2007/PartnerControls">
          <TermName xmlns="http://schemas.microsoft.com/office/infopath/2007/PartnerControls">News item/press release</TermName>
          <TermId xmlns="http://schemas.microsoft.com/office/infopath/2007/PartnerControls">54268cd5-4f7f-4337-998c-4e8dd4e36dd5</TermId>
        </TermInfo>
      </Terms>
    </gf283d17bf4b4b12b5854eedadddadd8>
    <TaxCatchAll xmlns="c75dc847-7b58-43df-9a07-02420b318a4f">
      <Value>6</Value>
      <Value>4</Value>
      <Value>3</Value>
      <Value>1</Value>
      <Value>7</Value>
    </TaxCatchAll>
    <_dlc_DocId xmlns="e7ef645b-2738-432b-ad8c-459b658a00ca">EBA0420-730620127-95</_dlc_DocId>
    <_dlc_DocIdUrl xmlns="e7ef645b-2738-432b-ad8c-459b658a00ca">
      <Url>https://ebaonline.sharepoint.com/sites/ERMS_0420/_layouts/15/DocIdRedir.aspx?ID=EBA0420-730620127-95</Url>
      <Description>EBA0420-730620127-95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139ef8c6-609c-46fa-9e5c-e4dc5d0a7c09" ContentTypeId="0x01010087D5B2111909B5468516641971DCE20A" PreviousValue="false" LastSyncTimeStamp="2025-07-01T16:46:32.21Z"/>
</file>

<file path=customXml/item5.xml><?xml version="1.0" encoding="utf-8"?>
<ct:contentTypeSchema xmlns:ct="http://schemas.microsoft.com/office/2006/metadata/contentType" xmlns:ma="http://schemas.microsoft.com/office/2006/metadata/properties/metaAttributes" ct:_="" ma:_="" ma:contentTypeName="ERMS Document" ma:contentTypeID="0x01010087D5B2111909B5468516641971DCE20A00CB40047D4DE5984BB1222EC34D094EDD" ma:contentTypeVersion="12" ma:contentTypeDescription=" " ma:contentTypeScope="" ma:versionID="4db059a07c013d231827041ae2a5dec6">
  <xsd:schema xmlns:xsd="http://www.w3.org/2001/XMLSchema" xmlns:xs="http://www.w3.org/2001/XMLSchema" xmlns:p="http://schemas.microsoft.com/office/2006/metadata/properties" xmlns:ns2="c75dc847-7b58-43df-9a07-02420b318a4f" xmlns:ns4="e7ef645b-2738-432b-ad8c-459b658a00ca" xmlns:ns5="44246aff-5f11-4842-ac52-96470eb12375" targetNamespace="http://schemas.microsoft.com/office/2006/metadata/properties" ma:root="true" ma:fieldsID="70b2947dd6037484840ff0f21c4d5463" ns2:_="" ns4:_="" ns5:_="">
    <xsd:import namespace="c75dc847-7b58-43df-9a07-02420b318a4f"/>
    <xsd:import namespace="e7ef645b-2738-432b-ad8c-459b658a00ca"/>
    <xsd:import namespace="44246aff-5f11-4842-ac52-96470eb12375"/>
    <xsd:element name="properties">
      <xsd:complexType>
        <xsd:sequence>
          <xsd:element name="documentManagement">
            <xsd:complexType>
              <xsd:all>
                <xsd:element ref="ns2:hcf60d1855a04bfba2fbccb16e64ac51" minOccurs="0"/>
                <xsd:element ref="ns2:TaxCatchAll" minOccurs="0"/>
                <xsd:element ref="ns2:TaxCatchAllLabel" minOccurs="0"/>
                <xsd:element ref="ns2:ma94e963cec447ddbb540abdffbfb61b" minOccurs="0"/>
                <xsd:element ref="ns2:k53aee2131224886be5acb59507f64e2" minOccurs="0"/>
                <xsd:element ref="ns2:gf283d17bf4b4b12b5854eedadddadd8" minOccurs="0"/>
                <xsd:element ref="ns2:k819937d1b894a15a12560e028b405f1" minOccurs="0"/>
                <xsd:element ref="ns2:ERMSReference" minOccurs="0"/>
                <xsd:element ref="ns4:_dlc_DocId" minOccurs="0"/>
                <xsd:element ref="ns4:_dlc_DocIdUrl" minOccurs="0"/>
                <xsd:element ref="ns4:_dlc_DocIdPersistId" minOccurs="0"/>
                <xsd:element ref="ns5:MediaServiceMetadata" minOccurs="0"/>
                <xsd:element ref="ns5:MediaServiceFastMetadata"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5dc847-7b58-43df-9a07-02420b318a4f" elementFormDefault="qualified">
    <xsd:import namespace="http://schemas.microsoft.com/office/2006/documentManagement/types"/>
    <xsd:import namespace="http://schemas.microsoft.com/office/infopath/2007/PartnerControls"/>
    <xsd:element name="hcf60d1855a04bfba2fbccb16e64ac51" ma:index="8" ma:taxonomy="true" ma:internalName="hcf60d1855a04bfba2fbccb16e64ac51" ma:taxonomyFieldName="ERMSSecurityClassification" ma:displayName="Security Classification" ma:fieldId="{1cf60d18-55a0-4bfb-a2fb-ccb16e64ac51}" ma:sspId="139ef8c6-609c-46fa-9e5c-e4dc5d0a7c09" ma:termSetId="673b35fc-d1ea-4ada-8830-1301a6a98f88"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9804f6e2-9cc6-46be-8993-f34bb534704f}" ma:internalName="TaxCatchAll" ma:showField="CatchAllData" ma:web="e7ef645b-2738-432b-ad8c-459b658a00ca">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9804f6e2-9cc6-46be-8993-f34bb534704f}" ma:internalName="TaxCatchAllLabel" ma:readOnly="true" ma:showField="CatchAllDataLabel" ma:web="e7ef645b-2738-432b-ad8c-459b658a00ca">
      <xsd:complexType>
        <xsd:complexContent>
          <xsd:extension base="dms:MultiChoiceLookup">
            <xsd:sequence>
              <xsd:element name="Value" type="dms:Lookup" maxOccurs="unbounded" minOccurs="0" nillable="true"/>
            </xsd:sequence>
          </xsd:extension>
        </xsd:complexContent>
      </xsd:complexType>
    </xsd:element>
    <xsd:element name="ma94e963cec447ddbb540abdffbfb61b" ma:index="12" ma:taxonomy="true" ma:internalName="ma94e963cec447ddbb540abdffbfb61b" ma:taxonomyFieldName="ERMSTaxonomy" ma:displayName="Taxonomy" ma:fieldId="{6a94e963-cec4-47dd-bb54-0abdffbfb61b}" ma:sspId="139ef8c6-609c-46fa-9e5c-e4dc5d0a7c09" ma:termSetId="fa589d32-1f1c-4feb-b215-4c8fbd485caa" ma:anchorId="00000000-0000-0000-0000-000000000000" ma:open="false" ma:isKeyword="false">
      <xsd:complexType>
        <xsd:sequence>
          <xsd:element ref="pc:Terms" minOccurs="0" maxOccurs="1"/>
        </xsd:sequence>
      </xsd:complexType>
    </xsd:element>
    <xsd:element name="k53aee2131224886be5acb59507f64e2" ma:index="14" nillable="true" ma:taxonomy="true" ma:internalName="k53aee2131224886be5acb59507f64e2" ma:taxonomyFieldName="ERMSBusinessArea" ma:displayName="Business Area" ma:fieldId="{453aee21-3122-4886-be5a-cb59507f64e2}" ma:sspId="139ef8c6-609c-46fa-9e5c-e4dc5d0a7c09" ma:termSetId="05814c09-75ea-4aeb-bed2-72fb9104469d" ma:anchorId="00000000-0000-0000-0000-000000000000" ma:open="false" ma:isKeyword="false">
      <xsd:complexType>
        <xsd:sequence>
          <xsd:element ref="pc:Terms" minOccurs="0" maxOccurs="1"/>
        </xsd:sequence>
      </xsd:complexType>
    </xsd:element>
    <xsd:element name="gf283d17bf4b4b12b5854eedadddadd8" ma:index="16" nillable="true" ma:taxonomy="true" ma:internalName="gf283d17bf4b4b12b5854eedadddadd8" ma:taxonomyFieldName="ERMSDocumentType" ma:displayName="Document Type" ma:fieldId="{0f283d17-bf4b-4b12-b585-4eedadddadd8}" ma:sspId="139ef8c6-609c-46fa-9e5c-e4dc5d0a7c09" ma:termSetId="901b5cbb-17ee-4316-9df9-097f12ba81cf" ma:anchorId="00000000-0000-0000-0000-000000000000" ma:open="false" ma:isKeyword="false">
      <xsd:complexType>
        <xsd:sequence>
          <xsd:element ref="pc:Terms" minOccurs="0" maxOccurs="1"/>
        </xsd:sequence>
      </xsd:complexType>
    </xsd:element>
    <xsd:element name="k819937d1b894a15a12560e028b405f1" ma:index="18" nillable="true" ma:taxonomy="true" ma:internalName="k819937d1b894a15a12560e028b405f1" ma:taxonomyFieldName="ERMSEBA_x0020_Subject" ma:displayName="EBA Subject" ma:fieldId="{4819937d-1b89-4a15-a125-60e028b405f1}" ma:sspId="139ef8c6-609c-46fa-9e5c-e4dc5d0a7c09" ma:termSetId="b2f95247-900d-4327-9a1b-1f5c0a168dca" ma:anchorId="00000000-0000-0000-0000-000000000000" ma:open="false" ma:isKeyword="false">
      <xsd:complexType>
        <xsd:sequence>
          <xsd:element ref="pc:Terms" minOccurs="0" maxOccurs="1"/>
        </xsd:sequence>
      </xsd:complexType>
    </xsd:element>
    <xsd:element name="ERMSReference" ma:index="20" nillable="true" ma:displayName="Reference" ma:internalName="ERMSReferenc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ef645b-2738-432b-ad8c-459b658a00ca" elementFormDefault="qualified">
    <xsd:import namespace="http://schemas.microsoft.com/office/2006/documentManagement/types"/>
    <xsd:import namespace="http://schemas.microsoft.com/office/infopath/2007/PartnerControls"/>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4246aff-5f11-4842-ac52-96470eb12375" elementFormDefault="qualified">
    <xsd:import namespace="http://schemas.microsoft.com/office/2006/documentManagement/types"/>
    <xsd:import namespace="http://schemas.microsoft.com/office/infopath/2007/PartnerControls"/>
    <xsd:element name="MediaServiceMetadata" ma:index="26" nillable="true" ma:displayName="MediaServiceMetadata" ma:hidden="true" ma:internalName="MediaServiceMetadata" ma:readOnly="true">
      <xsd:simpleType>
        <xsd:restriction base="dms:Note"/>
      </xsd:simpleType>
    </xsd:element>
    <xsd:element name="MediaServiceFastMetadata" ma:index="27" nillable="true" ma:displayName="MediaServiceFastMetadata" ma:hidden="true" ma:internalName="MediaServiceFastMetadata" ma:readOnly="true">
      <xsd:simpleType>
        <xsd:restriction base="dms:Note"/>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2"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21"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B87F8D-5AA0-4F4A-AD52-4BB393E92A7E}">
  <ds:schemaRef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bf812623-bc6b-4892-a5a6-40a33cbe5534"/>
    <ds:schemaRef ds:uri="http://www.w3.org/XML/1998/namespace"/>
    <ds:schemaRef ds:uri="c75dc847-7b58-43df-9a07-02420b318a4f"/>
    <ds:schemaRef ds:uri="e7ef645b-2738-432b-ad8c-459b658a00ca"/>
  </ds:schemaRefs>
</ds:datastoreItem>
</file>

<file path=customXml/itemProps2.xml><?xml version="1.0" encoding="utf-8"?>
<ds:datastoreItem xmlns:ds="http://schemas.openxmlformats.org/officeDocument/2006/customXml" ds:itemID="{92B27E06-3080-4504-B98F-9502EB2B5E91}">
  <ds:schemaRefs>
    <ds:schemaRef ds:uri="http://schemas.microsoft.com/sharepoint/v3/contenttype/forms"/>
  </ds:schemaRefs>
</ds:datastoreItem>
</file>

<file path=customXml/itemProps3.xml><?xml version="1.0" encoding="utf-8"?>
<ds:datastoreItem xmlns:ds="http://schemas.openxmlformats.org/officeDocument/2006/customXml" ds:itemID="{37BB8453-6199-4B43-B4F8-4A97EF28FD01}">
  <ds:schemaRefs>
    <ds:schemaRef ds:uri="http://schemas.microsoft.com/sharepoint/events"/>
  </ds:schemaRefs>
</ds:datastoreItem>
</file>

<file path=customXml/itemProps4.xml><?xml version="1.0" encoding="utf-8"?>
<ds:datastoreItem xmlns:ds="http://schemas.openxmlformats.org/officeDocument/2006/customXml" ds:itemID="{6EAE003C-E78C-40FB-B781-D3B8431CD966}">
  <ds:schemaRefs>
    <ds:schemaRef ds:uri="Microsoft.SharePoint.Taxonomy.ContentTypeSync"/>
  </ds:schemaRefs>
</ds:datastoreItem>
</file>

<file path=customXml/itemProps5.xml><?xml version="1.0" encoding="utf-8"?>
<ds:datastoreItem xmlns:ds="http://schemas.openxmlformats.org/officeDocument/2006/customXml" ds:itemID="{696987FC-AF41-4847-90EB-F3A289D829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5dc847-7b58-43df-9a07-02420b318a4f"/>
    <ds:schemaRef ds:uri="e7ef645b-2738-432b-ad8c-459b658a00ca"/>
    <ds:schemaRef ds:uri="44246aff-5f11-4842-ac52-96470eb123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c7eb9de-735b-4a68-8fe4-c9c62709b012}" enabled="1" method="Standard" siteId="{3bacb4ff-f1a2-4c92-b96c-e99fec826b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Instructions</vt:lpstr>
      <vt:lpstr>Input</vt:lpstr>
      <vt:lpstr>CSV_MR_FULL_REVAL</vt:lpstr>
      <vt:lpstr>CSV_MR_FULL_REVAL!SMBC_FullReval_Total_CentralBank</vt:lpstr>
      <vt:lpstr>CSV_MR_FULL_REVAL!SMBC_FullReval_Total_CreditInstitutions</vt:lpstr>
      <vt:lpstr>CSV_MR_FULL_REVAL!SMBC_FullReval_Total_GeneralGovt</vt:lpstr>
      <vt:lpstr>CSV_MR_FULL_REVAL!SMBC_FullReval_Total_NonFinCorporations</vt:lpstr>
      <vt:lpstr>CSV_MR_FULL_REVAL!SMBC_FullReval_Total_Other</vt:lpstr>
      <vt:lpstr>CSV_MR_FULL_REVAL!SMBC_FullReval_Total_OtherFinCorp</vt:lpstr>
    </vt:vector>
  </TitlesOfParts>
  <Manager/>
  <Company>European Central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Mylonas, Dionysios</dc:creator>
  <cp:keywords/>
  <dc:description/>
  <cp:lastModifiedBy>Rajesh Kumar</cp:lastModifiedBy>
  <cp:revision/>
  <dcterms:created xsi:type="dcterms:W3CDTF">2020-03-19T14:34:31Z</dcterms:created>
  <dcterms:modified xsi:type="dcterms:W3CDTF">2026-09-06T20:10:31Z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4145f4-aec7-4462-867f-61720b9452af_Enabled">
    <vt:lpwstr>true</vt:lpwstr>
  </property>
  <property fmtid="{D5CDD505-2E9C-101B-9397-08002B2CF9AE}" pid="3" name="MSIP_Label_894145f4-aec7-4462-867f-61720b9452af_SetDate">
    <vt:lpwstr>2026-02-27T13:00:34Z</vt:lpwstr>
  </property>
  <property fmtid="{D5CDD505-2E9C-101B-9397-08002B2CF9AE}" pid="4" name="MSIP_Label_894145f4-aec7-4462-867f-61720b9452af_Method">
    <vt:lpwstr>Standard</vt:lpwstr>
  </property>
  <property fmtid="{D5CDD505-2E9C-101B-9397-08002B2CF9AE}" pid="5" name="MSIP_Label_894145f4-aec7-4462-867f-61720b9452af_Name">
    <vt:lpwstr>ECB-CONFIDENTIAL - Business</vt:lpwstr>
  </property>
  <property fmtid="{D5CDD505-2E9C-101B-9397-08002B2CF9AE}" pid="6" name="MSIP_Label_894145f4-aec7-4462-867f-61720b9452af_SiteId">
    <vt:lpwstr>b84ee435-4816-49d2-8d92-e740dbda4064</vt:lpwstr>
  </property>
  <property fmtid="{D5CDD505-2E9C-101B-9397-08002B2CF9AE}" pid="7" name="MSIP_Label_894145f4-aec7-4462-867f-61720b9452af_ActionId">
    <vt:lpwstr>e33dbdb8-285e-4b0e-806a-04fc27e70ef8</vt:lpwstr>
  </property>
  <property fmtid="{D5CDD505-2E9C-101B-9397-08002B2CF9AE}" pid="8" name="MSIP_Label_894145f4-aec7-4462-867f-61720b9452af_ContentBits">
    <vt:lpwstr>0</vt:lpwstr>
  </property>
  <property fmtid="{D5CDD505-2E9C-101B-9397-08002B2CF9AE}" pid="9" name="ContentTypeId">
    <vt:lpwstr>0x01010087D5B2111909B5468516641971DCE20A00CB40047D4DE5984BB1222EC34D094EDD</vt:lpwstr>
  </property>
  <property fmtid="{D5CDD505-2E9C-101B-9397-08002B2CF9AE}" pid="10" name="{A44787D4-0540-4523-9961-78E4036D8C6D}">
    <vt:lpwstr>{982653B4-50F6-48EE-9789-D594A8B42DD1}</vt:lpwstr>
  </property>
  <property fmtid="{D5CDD505-2E9C-101B-9397-08002B2CF9AE}" pid="11" name="_dlc_DocIdItemGuid">
    <vt:lpwstr>85354a06-e587-4ac1-a2e3-62d9e8bb435a</vt:lpwstr>
  </property>
  <property fmtid="{D5CDD505-2E9C-101B-9397-08002B2CF9AE}" pid="12" name="ERMSSecurityClassification">
    <vt:lpwstr>4;#EBA Regular Use|1beb7b00-08f6-4d2a-ade7-bc527fe9cdf9</vt:lpwstr>
  </property>
  <property fmtid="{D5CDD505-2E9C-101B-9397-08002B2CF9AE}" pid="13" name="ERMSBusinessArea">
    <vt:lpwstr>3;#Communications|1c3e56db-1e4a-4ab6-8470-7e1ce754e831</vt:lpwstr>
  </property>
  <property fmtid="{D5CDD505-2E9C-101B-9397-08002B2CF9AE}" pid="14" name="ERMSEBA Subject">
    <vt:lpwstr>1;#Communications|dbe7caa8-5846-463b-ad50-394ca0372f2b</vt:lpwstr>
  </property>
  <property fmtid="{D5CDD505-2E9C-101B-9397-08002B2CF9AE}" pid="15" name="ERMSDocumentType">
    <vt:lpwstr>6;#News item/press release|54268cd5-4f7f-4337-998c-4e8dd4e36dd5</vt:lpwstr>
  </property>
  <property fmtid="{D5CDD505-2E9C-101B-9397-08002B2CF9AE}" pid="16" name="ERMSTaxonomy">
    <vt:lpwstr>7;#0420-10 Press Releases and News Items|3d72fd2f-f7b4-42d4-9a8d-880afe9afcb1</vt:lpwstr>
  </property>
  <property fmtid="{D5CDD505-2E9C-101B-9397-08002B2CF9AE}" pid="17" name="ERMSEBA_x0020_Subject">
    <vt:lpwstr>1;#Communications|dbe7caa8-5846-463b-ad50-394ca0372f2b</vt:lpwstr>
  </property>
</Properties>
</file>